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4" activeTab="8" autoFilterDateGrouping="1"/>
  </bookViews>
  <sheets>
    <sheet xmlns:r="http://schemas.openxmlformats.org/officeDocument/2006/relationships" name="Protocolo" sheetId="1" state="visible" r:id="rId1"/>
    <sheet xmlns:r="http://schemas.openxmlformats.org/officeDocument/2006/relationships" name="Cadenas_de_busqueda" sheetId="2" state="visible" r:id="rId2"/>
    <sheet xmlns:r="http://schemas.openxmlformats.org/officeDocument/2006/relationships" name="Base_consolidada" sheetId="3" state="visible" r:id="rId3"/>
    <sheet xmlns:r="http://schemas.openxmlformats.org/officeDocument/2006/relationships" name="Duplicados_y_exclusion" sheetId="4" state="visible" r:id="rId4"/>
    <sheet xmlns:r="http://schemas.openxmlformats.org/officeDocument/2006/relationships" name="Tamizaje_Tit_Abs_Keys" sheetId="5" state="visible" r:id="rId5"/>
    <sheet xmlns:r="http://schemas.openxmlformats.org/officeDocument/2006/relationships" name="Calidad_articulos" sheetId="6" state="visible" r:id="rId6"/>
    <sheet xmlns:r="http://schemas.openxmlformats.org/officeDocument/2006/relationships" name="Articulos_finales" sheetId="7" state="visible" r:id="rId7"/>
    <sheet xmlns:r="http://schemas.openxmlformats.org/officeDocument/2006/relationships" name="Articulos_finales_ok" sheetId="8" state="visible" r:id="rId8"/>
    <sheet xmlns:r="http://schemas.openxmlformats.org/officeDocument/2006/relationships" name="Resumen_ejecutivo" sheetId="9" state="visible" r:id="rId9"/>
  </sheets>
  <definedNames>
    <definedName name="_xlnm._FilterDatabase" localSheetId="1" hidden="1">'Cadenas_de_busqueda'!$A$4:$I$14</definedName>
    <definedName name="_xlnm._FilterDatabase" localSheetId="2" hidden="1">'Base_consolidada'!$A$3:$L$15</definedName>
    <definedName name="_xlnm._FilterDatabase" localSheetId="3" hidden="1">'Duplicados_y_exclusion'!$A$3:$J$15</definedName>
    <definedName name="_xlnm._FilterDatabase" localSheetId="4" hidden="1">'Tamizaje_Tit_Abs_Keys'!$A$3:$N$15</definedName>
    <definedName name="_xlnm._FilterDatabase" localSheetId="5" hidden="1">'Calidad_articulos'!$A$3:$P$15</definedName>
    <definedName name="_xlnm._FilterDatabase" localSheetId="6" hidden="1">'Articulos_finales'!$A$3:$R$15</definedName>
    <definedName name="_xlnm._FilterDatabase" localSheetId="7" hidden="1">'Articulos_finales_ok'!$A$1:$F$6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2"/>
    </font>
    <font>
      <name val="Calibri"/>
      <family val="2"/>
      <i val="1"/>
      <sz val="10"/>
    </font>
    <font>
      <name val="Calibri"/>
      <family val="2"/>
      <b val="1"/>
      <color rgb="FFFFFFFF"/>
      <sz val="11"/>
    </font>
    <font>
      <name val="Calibri"/>
      <family val="2"/>
      <color rgb="FF000000"/>
      <sz val="10"/>
    </font>
    <font>
      <name val="Calibri"/>
      <family val="2"/>
      <sz val="10"/>
    </font>
    <font>
      <name val="Arial"/>
      <family val="2"/>
      <b val="1"/>
      <color theme="1"/>
      <sz val="8"/>
    </font>
    <font>
      <name val="Calibri"/>
      <family val="2"/>
      <b val="1"/>
      <color rgb="FF1F3864"/>
      <sz val="14"/>
    </font>
    <font>
      <name val="Calibri"/>
      <family val="2"/>
      <i val="1"/>
      <color rgb="FF595959"/>
      <sz val="10"/>
    </font>
    <font>
      <name val="Calibri"/>
      <family val="2"/>
      <b val="1"/>
      <color rgb="FF1F3864"/>
      <sz val="11"/>
    </font>
    <font>
      <name val="Calibri"/>
      <family val="2"/>
      <sz val="10"/>
    </font>
    <font>
      <name val="Calibri"/>
      <family val="2"/>
      <b val="1"/>
      <i val="1"/>
      <color rgb="FFC00000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1F3864"/>
      <sz val="10"/>
    </font>
    <font>
      <name val="Calibri"/>
      <family val="2"/>
      <b val="1"/>
      <color rgb="FFC00000"/>
      <sz val="10"/>
    </font>
    <font>
      <name val="Calibri"/>
      <family val="2"/>
      <sz val="10"/>
    </font>
    <font>
      <name val="Calibri"/>
      <family val="2"/>
      <b val="1"/>
      <color rgb="FF1F3864"/>
      <sz val="11"/>
    </font>
    <font>
      <name val="Calibri"/>
      <family val="2"/>
      <sz val="10"/>
    </font>
    <font>
      <name val="Calibri"/>
      <family val="2"/>
      <color theme="10"/>
      <sz val="12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0F766E"/>
      </patternFill>
    </fill>
    <fill>
      <patternFill patternType="solid">
        <fgColor rgb="FFEAF3FF"/>
      </patternFill>
    </fill>
    <fill>
      <patternFill patternType="solid">
        <fgColor rgb="FF1F4E78"/>
      </patternFill>
    </fill>
    <fill>
      <patternFill patternType="solid">
        <fgColor rgb="FFEAF6EA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001F4E78"/>
      </patternFill>
    </fill>
  </fills>
  <borders count="6">
    <border>
      <left/>
      <right/>
      <top/>
      <bottom/>
      <diagonal/>
    </border>
    <border>
      <left/>
      <right/>
      <top/>
      <bottom style="thin">
        <color rgb="FFB7C9E2"/>
      </bottom>
      <diagonal/>
    </border>
    <border>
      <left/>
      <right/>
      <top/>
      <bottom style="thin">
        <color rgb="FFB7C9E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8" fillId="0" borderId="0"/>
  </cellStyleXfs>
  <cellXfs count="62"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1" fontId="4" fillId="3" borderId="1" applyAlignment="1" pivotButton="0" quotePrefix="0" xfId="0">
      <alignment vertical="top" wrapText="1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1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3" applyAlignment="1" pivotButton="0" quotePrefix="0" xfId="0">
      <alignment horizontal="justify" vertical="center"/>
    </xf>
    <xf numFmtId="0" fontId="6" fillId="0" borderId="4" applyAlignment="1" pivotButton="0" quotePrefix="0" xfId="0">
      <alignment horizontal="justify" vertical="center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9" fillId="0" borderId="0" pivotButton="0" quotePrefix="0" xfId="0"/>
    <xf numFmtId="0" fontId="0" fillId="0" borderId="0" applyAlignment="1" pivotButton="0" quotePrefix="0" xfId="0">
      <alignment horizontal="center" vertical="top"/>
    </xf>
    <xf numFmtId="0" fontId="10" fillId="7" borderId="0" applyAlignment="1" pivotButton="0" quotePrefix="0" xfId="0">
      <alignment vertical="top" wrapText="1"/>
    </xf>
    <xf numFmtId="0" fontId="12" fillId="8" borderId="5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5" applyAlignment="1" pivotButton="0" quotePrefix="0" xfId="0">
      <alignment vertical="top" wrapText="1"/>
    </xf>
    <xf numFmtId="0" fontId="0" fillId="0" borderId="5" pivotButton="0" quotePrefix="0" xfId="0"/>
    <xf numFmtId="0" fontId="13" fillId="0" borderId="0" applyAlignment="1" pivotButton="0" quotePrefix="0" xfId="0">
      <alignment vertical="top" wrapText="1"/>
    </xf>
    <xf numFmtId="0" fontId="14" fillId="7" borderId="0" pivotButton="0" quotePrefix="0" xfId="0"/>
    <xf numFmtId="0" fontId="8" fillId="7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5" fillId="0" borderId="5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5" fillId="0" borderId="1" pivotButton="0" quotePrefix="0" xfId="0"/>
    <xf numFmtId="0" fontId="16" fillId="9" borderId="0" pivotButton="0" quotePrefix="0" xfId="0"/>
    <xf numFmtId="0" fontId="17" fillId="0" borderId="0" pivotButton="0" quotePrefix="0" xfId="0"/>
    <xf numFmtId="0" fontId="16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1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4" fillId="6" borderId="2" applyAlignment="1" pivotButton="0" quotePrefix="0" xfId="0">
      <alignment vertical="top" wrapText="1"/>
    </xf>
    <xf numFmtId="0" fontId="0" fillId="0" borderId="2" pivotButton="0" quotePrefix="0" xfId="0"/>
    <xf numFmtId="0" fontId="3" fillId="4" borderId="2" applyAlignment="1" pivotButton="0" quotePrefix="0" xfId="0">
      <alignment horizontal="left" vertical="center"/>
    </xf>
    <xf numFmtId="0" fontId="4" fillId="3" borderId="2" applyAlignment="1" pivotButton="0" quotePrefix="0" xfId="0">
      <alignment vertical="top" wrapText="1"/>
    </xf>
    <xf numFmtId="0" fontId="1" fillId="2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 wrapText="1"/>
    </xf>
    <xf numFmtId="0" fontId="14" fillId="7" borderId="0" applyAlignment="1" pivotButton="0" quotePrefix="0" xfId="0">
      <alignment vertical="top" wrapText="1"/>
    </xf>
    <xf numFmtId="0" fontId="12" fillId="8" borderId="5" applyAlignment="1" pivotButton="0" quotePrefix="0" xfId="0">
      <alignment horizontal="center" vertical="top" wrapText="1"/>
    </xf>
    <xf numFmtId="0" fontId="1" fillId="2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12" fillId="4" borderId="2" applyAlignment="1" pivotButton="0" quotePrefix="0" xfId="0">
      <alignment horizontal="center" vertical="top" wrapText="1"/>
    </xf>
    <xf numFmtId="0" fontId="18" fillId="0" borderId="0" applyAlignment="1" pivotButton="0" quotePrefix="0" xfId="1">
      <alignment vertical="top" wrapText="1"/>
    </xf>
    <xf numFmtId="0" fontId="12" fillId="4" borderId="0" applyAlignment="1" pivotButton="0" quotePrefix="0" xfId="0">
      <alignment horizontal="center" vertical="center" wrapText="1"/>
    </xf>
    <xf numFmtId="0" fontId="19" fillId="1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1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15" fillId="0" borderId="1" applyAlignment="1" pivotButton="0" quotePrefix="0" xfId="0">
      <alignment vertical="top" wrapText="1"/>
    </xf>
    <xf numFmtId="0" fontId="3" fillId="4" borderId="2" applyAlignment="1" pivotButton="0" quotePrefix="0" xfId="0">
      <alignment horizontal="left" vertical="top" wrapText="1"/>
    </xf>
  </cellXfs>
  <cellStyles count="2">
    <cellStyle name="Normal" xfId="0" builtinId="0"/>
    <cellStyle name="Hyperlink" xfId="1" builtinId="8" hidden="0"/>
  </cellStyles>
  <dxfs count="3">
    <dxf>
      <fill>
        <patternFill>
          <bgColor rgb="FFFDE9E7"/>
        </patternFill>
      </fill>
    </dxf>
    <dxf>
      <fill>
        <patternFill>
          <bgColor rgb="FFFFF2CC"/>
        </patternFill>
      </fill>
    </dxf>
    <dxf>
      <fill>
        <patternFill>
          <bgColor rgb="FFEAF6EA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Protocolo SLR</author>
  </authors>
  <commentList>
    <comment ref="D3" authorId="0" shapeId="0">
      <text>
        <t>Q1: El objetivo o pregunta del estudio está claramente definido.
0 = no cumple | 1 = parcial | 2 = cumple bien</t>
      </text>
    </comment>
    <comment ref="E3" authorId="0" shapeId="0">
      <text>
        <t>Q2: Identifica el patógeno a nivel de especie (o al menos género) de forma clara.
0 = no cumple | 1 = parcial | 2 = cumple bien</t>
      </text>
    </comment>
    <comment ref="F3" authorId="0" shapeId="0">
      <text>
        <t>Q3: Describe la enfermedad y los síntomas en el TALLO/tronco con claridad.
0 = no cumple | 1 = parcial | 2 = cumple bien</t>
      </text>
    </comment>
    <comment ref="G3" authorId="0" shapeId="0">
      <text>
        <t>Q4: Se realiza sobre aguacate (Persea americana) o es claramente extrapolable a él.
0 = no cumple | 1 = parcial | 2 = cumple bien</t>
      </text>
    </comment>
    <comment ref="H3" authorId="0" shapeId="0">
      <text>
        <t>Q5: La metodología (muestreo, aislamiento, identificación/diagnóstico) está descrita y es replicable.
0 = no cumple | 1 = parcial | 2 = cumple bien</t>
      </text>
    </comment>
    <comment ref="I3" authorId="0" shapeId="0">
      <text>
        <t>Q6: Aporta evidencia que respalda las conclusiones (imágenes, mediciones, laboratorio, secuencias).
0 = no cumple | 1 = parcial | 2 = cumple bien</t>
      </text>
    </comment>
    <comment ref="J3" authorId="0" shapeId="0">
      <text>
        <t>Q7: Menciona métodos de detección/diagnóstico (visual, molecular, imagen o IA) útiles para la app.
0 = no cumple | 1 = parcial | 2 = cumple bien</t>
      </text>
    </comment>
    <comment ref="K3" authorId="0" shapeId="0">
      <text>
        <t>Q8: Indica el contexto geográfico/región (mundial o Latinoamérica) y las condiciones.
0 = no cumple | 1 = parcial | 2 = cumple bien</t>
      </text>
    </comment>
    <comment ref="L3" authorId="0" shapeId="0">
      <text>
        <t>Q9: Resultados y conclusiones claros y coherentes con los datos presentados.
0 = no cumple | 1 = parcial | 2 = cumple bien</t>
      </text>
    </comment>
    <comment ref="M3" authorId="0" shapeId="0">
      <text>
        <t>Q10: Fuente confiable y actual (revista revisada por pares, citable, año dentro del rango).
0 = no cumple | 1 = parcial | 2 = cumple bien</t>
      </text>
    </comment>
    <comment ref="N3" authorId="0" shapeId="0">
      <text>
        <t>Puntaje total = suma de Q1..Q10 (0 a 20). Se calcula solo.</t>
      </text>
    </comment>
    <comment ref="O3" authorId="0" shapeId="0">
      <text>
        <t>Nivel = Alta (16-20) / Media (11-15) / Baja (&lt;=10). Se calcula solo.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file:///C:/Users/plusm/Desktop/Tesis/Bibliografia/Vision%20artificial%20y%20UAV/IEEE%20Xplore/Unified%20Approach%20for%20Avocado%20Leaf%20Disease%20Classification_%20CNN-SVM%20Fusion.url" TargetMode="External" Id="rId1"/><Relationship Type="http://schemas.openxmlformats.org/officeDocument/2006/relationships/hyperlink" Target="file:///C:/Users/plusm/Desktop/Tesis/Bibliografia/Vision%20artificial%20y%20UAV/IEEE%20Xplore/Plant%20Leaf%20Disease%20Detection_%20Classification_%20and%20Diagnosis%20Using%20Computer%20Vision%20and%20Artificial%20Intelligence_%20A%20Review.url" TargetMode="External" Id="rId2"/><Relationship Type="http://schemas.openxmlformats.org/officeDocument/2006/relationships/hyperlink" Target="file:///C:/Users/plusm/Desktop/Tesis/Bibliografia/Vision%20artificial%20y%20UAV/IEEE%20Xplore/Real-Time%20Detection%20and%20Identification%20of%20Plant%20Leaf%20Diseases%20using%20YOLOv4-tiny.url" TargetMode="External" Id="rId3"/><Relationship Type="http://schemas.openxmlformats.org/officeDocument/2006/relationships/hyperlink" Target="file:///C:/Users/plusm/Desktop/Tesis/Bibliografia/Antracnosis/s41598-026-50025-z.pdf" TargetMode="External" Id="rId4"/><Relationship Type="http://schemas.openxmlformats.org/officeDocument/2006/relationships/hyperlink" Target="file:///C:/Users/plusm/Desktop/Tesis/Bibliografia/Antracnosis/agriengineering-08-00340.pdf" TargetMode="External" Id="rId5"/><Relationship Type="http://schemas.openxmlformats.org/officeDocument/2006/relationships/hyperlink" Target="file:///C:/Users/plusm/Desktop/Tesis/Bibliografia/Tiz%C3%B3n%20de%20la%20hoja/ijpb-17-00010.pdf" TargetMode="External" Id="rId6"/><Relationship Type="http://schemas.openxmlformats.org/officeDocument/2006/relationships/hyperlink" Target="file:///C:/Users/plusm/Desktop/Tesis/Bibliografia/Cercospora/rcch%2C%2B03_Validation%2Bof%2Bblack%2Bspot%2B%5B%28Pseudocercospora%2Bpurpurea%2B%28Cooke%29%2BDeighton%5D%2Bmanagement%2Bstrategies%2Bin%2Bavocado%2Bcrops%2Bin%2Bnorther.pdf" TargetMode="External" Id="rId7"/><Relationship Type="http://schemas.openxmlformats.org/officeDocument/2006/relationships/hyperlink" Target="file:///C:/Users/plusm/Desktop/Tesis/Bibliografia/Agallas%20foliares/s10971-026-07179-z.pdf" TargetMode="External" Id="rId8"/><Relationship Type="http://schemas.openxmlformats.org/officeDocument/2006/relationships/hyperlink" Target="file:///C:/Users/plusm/Desktop/Tesis/Bibliografia/_Bibliografia%20adicional%202026/06_Arana_roja_Oligonychus_punicae_Oliveira_2021.url" TargetMode="External" Id="rId9"/><Relationship Type="http://schemas.openxmlformats.org/officeDocument/2006/relationships/hyperlink" Target="file:///C:/Users/plusm/Desktop/Tesis/Bibliografia/Ro%C3%B1a/09_Rona_Scab_Belizaire_2024.url" TargetMode="External" Id="rId10"/><Relationship Type="http://schemas.openxmlformats.org/officeDocument/2006/relationships/hyperlink" Target="file:///C:/Users/plusm/Desktop/Tesis/Bibliografia/Vision%20artificial%20y%20UAV/Real-time%20hass%20avocado%20ripeness%20detection%20using%20close-range%20UAV%20imagery%20and%20YOLO-based%20deep%20learning.pdf" TargetMode="External" Id="rId11"/><Relationship Type="http://schemas.openxmlformats.org/officeDocument/2006/relationships/hyperlink" Target="file:///C:/Users/plusm/Desktop/Tesis/Bibliografia/Cultivos%20comparativos/Simultaneously%20prediction%20of%20multiple%20wheat%20leaf%20phenotypes%20using.pdf" TargetMode="External" Id="rId12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zoomScale="115" workbookViewId="0">
      <selection activeCell="B39" sqref="B39"/>
    </sheetView>
  </sheetViews>
  <sheetFormatPr baseColWidth="10" defaultColWidth="8.88671875" defaultRowHeight="14.4"/>
  <cols>
    <col width="34" customWidth="1" style="34" min="1" max="1"/>
    <col width="55" customWidth="1" style="34" min="2" max="2"/>
  </cols>
  <sheetData>
    <row r="1" ht="18" customHeight="1" s="34">
      <c r="A1" s="44" t="inlineStr">
        <is>
          <t>PROTOCOLO DE LA REVISIÓN SISTEMÁTICA DE LITERATURA</t>
        </is>
      </c>
    </row>
    <row r="2">
      <c r="A2" s="45" t="inlineStr">
        <is>
          <t>Paso 0 — Reglas definidas ANTES de filtrar. Este es el 'plan de vuelo': ajusta cada campo a tu proyecto.</t>
        </is>
      </c>
    </row>
    <row r="3"/>
    <row r="4">
      <c r="A4" s="14" t="inlineStr">
        <is>
          <t>1. Tema / Proyecto</t>
        </is>
      </c>
      <c r="B4" s="15" t="inlineStr">
        <is>
          <t>Integración de inteligencia artificial en una aplicación móvil para la detección de enfermedades y plagas foliares del aguacate (Persea americana).</t>
        </is>
      </c>
    </row>
    <row r="5" ht="27.6" customHeight="1" s="34">
      <c r="A5" s="14" t="inlineStr">
        <is>
          <t>2. Pregunta de investigación</t>
        </is>
      </c>
      <c r="B5" s="15" t="inlineStr">
        <is>
          <t>¿Qué enfermedades y plagas afectan las hojas del aguacate (Persea americana), qué síntomas visuales producen y qué métodos de inteligencia artificial, visión por computador o imágenes UAV se han utilizado o pueden adaptarse para su detección?</t>
        </is>
      </c>
    </row>
    <row r="6" ht="27.6" customHeight="1" s="34">
      <c r="A6" s="14" t="inlineStr">
        <is>
          <t>3. Objetivo de esta SLR</t>
        </is>
      </c>
      <c r="B6" s="15" t="inlineStr">
        <is>
          <t>Reunir y sintetizar evidencia científica sobre enfermedades y plagas foliares del aguacate y sobre métodos de detección automatizada que sirvan como base para un sistema de IA o aplicación móvil.</t>
        </is>
      </c>
    </row>
    <row r="7"/>
    <row r="8">
      <c r="A8" s="14" t="inlineStr">
        <is>
          <t>4. Criterios de INCLUSIÓN</t>
        </is>
      </c>
    </row>
    <row r="9">
      <c r="A9" s="46" t="inlineStr">
        <is>
          <t>•</t>
        </is>
      </c>
      <c r="B9" s="15" t="inlineStr">
        <is>
          <t>Trata sobre aguacate / Persea americana o aporta un método de detección foliar extrapolable.</t>
        </is>
      </c>
    </row>
    <row r="10">
      <c r="A10" s="46" t="inlineStr">
        <is>
          <t>•</t>
        </is>
      </c>
      <c r="B10" s="15" t="inlineStr">
        <is>
          <t>Menciona enfermedades o plagas foliares relevantes: antracnosis, Cercospora, ácaros, agallas, tizón foliar, roña u otras afecciones visibles en hoja.</t>
        </is>
      </c>
    </row>
    <row r="11" ht="27.6" customHeight="1" s="34">
      <c r="A11" s="46" t="inlineStr">
        <is>
          <t>•</t>
        </is>
      </c>
      <c r="B11" s="15" t="inlineStr">
        <is>
          <t>Aporta información sobre hojas, síntomas foliares, imagen, detección, clasificación, severidad, diagnóstico o monitoreo con IA/UAV/visión por computador.</t>
        </is>
      </c>
    </row>
    <row r="12">
      <c r="A12" s="46" t="inlineStr">
        <is>
          <t>•</t>
        </is>
      </c>
      <c r="B12" s="15" t="inlineStr">
        <is>
          <t>Es estudio primario, artículo técnico, ponencia IEEE o revisión metodológica relevante para el estado del arte.</t>
        </is>
      </c>
    </row>
    <row r="13">
      <c r="A13" s="46" t="inlineStr">
        <is>
          <t>•</t>
        </is>
      </c>
      <c r="B13" s="15" t="inlineStr">
        <is>
          <t>Idioma: español o inglés.</t>
        </is>
      </c>
    </row>
    <row r="14"/>
    <row r="15">
      <c r="A15" s="14" t="inlineStr">
        <is>
          <t>5. Criterios de EXCLUSIÓN</t>
        </is>
      </c>
    </row>
    <row r="16">
      <c r="A16" s="46" t="inlineStr">
        <is>
          <t>•</t>
        </is>
      </c>
      <c r="B16" s="15" t="inlineStr">
        <is>
          <t>Se enfoca únicamente en raíz, tallo o fruto sin relación con hojas ni método extrapolable a diagnóstico foliar.</t>
        </is>
      </c>
    </row>
    <row r="17">
      <c r="A17" s="46" t="inlineStr">
        <is>
          <t>•</t>
        </is>
      </c>
      <c r="B17" s="15" t="inlineStr">
        <is>
          <t>No aporta información sobre enfermedad/plaga, síntomas, imagen, IA, diagnóstico o aplicación móvil.</t>
        </is>
      </c>
    </row>
    <row r="18">
      <c r="A18" s="46" t="inlineStr">
        <is>
          <t>•</t>
        </is>
      </c>
      <c r="B18" s="15" t="inlineStr">
        <is>
          <t>No especifica cultivo, órgano, enfermedad/plaga ni método utilizado.</t>
        </is>
      </c>
    </row>
    <row r="19">
      <c r="A19" s="46" t="inlineStr">
        <is>
          <t>•</t>
        </is>
      </c>
      <c r="B19" s="15" t="inlineStr">
        <is>
          <t>Registro duplicado (mismo DOI o título en otra base).</t>
        </is>
      </c>
    </row>
    <row r="20">
      <c r="A20" s="46" t="inlineStr">
        <is>
          <t>•</t>
        </is>
      </c>
      <c r="B20" s="15" t="inlineStr">
        <is>
          <t>Fuera del rango de años definido / idioma distinto de español o inglés.</t>
        </is>
      </c>
    </row>
    <row r="21"/>
    <row r="22">
      <c r="A22" s="14" t="inlineStr">
        <is>
          <t>6. Grupos de patógenos considerados</t>
        </is>
      </c>
      <c r="B22" s="15" t="n"/>
    </row>
    <row r="23">
      <c r="A23" s="15" t="inlineStr">
        <is>
          <t>1. Phytophthora spp.</t>
        </is>
      </c>
      <c r="B23" s="15" t="inlineStr">
        <is>
          <t>Colletotrichum spp.</t>
        </is>
      </c>
    </row>
    <row r="24">
      <c r="A24" s="18" t="inlineStr">
        <is>
          <t>2. Lasiodiplodia spp.</t>
        </is>
      </c>
      <c r="B24" s="26" t="inlineStr">
        <is>
          <t>Pseudocercospora / Cercospora</t>
        </is>
      </c>
    </row>
    <row r="25">
      <c r="A25" s="18" t="inlineStr">
        <is>
          <t>3. Botryosphaeriaceae</t>
        </is>
      </c>
      <c r="B25" s="26" t="inlineStr">
        <is>
          <t>Oligonychus spp.</t>
        </is>
      </c>
    </row>
    <row r="26">
      <c r="A26" s="15" t="inlineStr">
        <is>
          <t>4. Colletotrichum spp.</t>
        </is>
      </c>
      <c r="B26" s="15" t="inlineStr">
        <is>
          <t>Trioza spp.</t>
        </is>
      </c>
    </row>
    <row r="27">
      <c r="A27" s="15" t="inlineStr">
        <is>
          <t>5. Fusarium spp.</t>
        </is>
      </c>
      <c r="B27" s="15" t="inlineStr">
        <is>
          <t>Pestalotiopsis / Neopestalotiopsis / Pseudopestalotiopsis</t>
        </is>
      </c>
    </row>
    <row r="28">
      <c r="A28" s="18" t="inlineStr">
        <is>
          <t>6. Nectria spp.</t>
        </is>
      </c>
      <c r="B28" s="26" t="inlineStr">
        <is>
          <t>Elsinoe perseae</t>
        </is>
      </c>
    </row>
    <row r="29"/>
    <row r="30" ht="27.6" customHeight="1" s="34">
      <c r="A30" s="14" t="inlineStr">
        <is>
          <t>7. Bases de datos consultadas</t>
        </is>
      </c>
      <c r="B30" s="15" t="inlineStr">
        <is>
          <t>Scopus · IEEE Xplore · Web of Science · Springer · Google Scholar como apoyo.</t>
        </is>
      </c>
    </row>
    <row r="31" ht="27.6" customHeight="1" s="34">
      <c r="A31" s="14" t="inlineStr">
        <is>
          <t>8. Filtros aplicados</t>
        </is>
      </c>
      <c r="B31" s="15" t="inlineStr">
        <is>
          <t>Años: 2010-2026. Idioma: español / inglés. Tipo: artículos, ponencias y revisiones metodológicas relevantes.</t>
        </is>
      </c>
    </row>
    <row r="32" ht="27.6" customHeight="1" s="34">
      <c r="A32" s="14" t="inlineStr">
        <is>
          <t>9. Criterios de calidad (Q1–Q10)</t>
        </is>
      </c>
      <c r="B32" s="15" t="inlineStr">
        <is>
          <t>Escala por criterio: 0 = no cumple · 1 = cumple parcialmente · 2 = cumple bien. Se puntúan en la hoja 'Calidad_articulos' (total y nivel se calculan solos).</t>
        </is>
      </c>
    </row>
    <row r="33">
      <c r="A33" s="23" t="inlineStr">
        <is>
          <t>Q1</t>
        </is>
      </c>
      <c r="B33" s="15" t="inlineStr">
        <is>
          <t>El objetivo o pregunta del estudio está claramente definido.</t>
        </is>
      </c>
    </row>
    <row r="34">
      <c r="A34" s="23" t="inlineStr">
        <is>
          <t>Q2</t>
        </is>
      </c>
      <c r="B34" s="15" t="inlineStr">
        <is>
          <t>Identifica enfermedad, plaga, patógeno o clase visual de forma clara.</t>
        </is>
      </c>
    </row>
    <row r="35">
      <c r="A35" s="23" t="inlineStr">
        <is>
          <t>Q3</t>
        </is>
      </c>
      <c r="B35" s="15" t="inlineStr">
        <is>
          <t>Describe síntomas foliares o características visuales útiles para diagnóstico.</t>
        </is>
      </c>
    </row>
    <row r="36">
      <c r="A36" s="23" t="inlineStr">
        <is>
          <t>Q4</t>
        </is>
      </c>
      <c r="B36" s="15" t="inlineStr">
        <is>
          <t>Se realiza sobre aguacate o presenta un método de detección foliar extrapolable al cultivo.</t>
        </is>
      </c>
    </row>
    <row r="37">
      <c r="A37" s="23" t="inlineStr">
        <is>
          <t>Q5</t>
        </is>
      </c>
      <c r="B37" s="15" t="inlineStr">
        <is>
          <t>La metodología de captura, diagnóstico, clasificación o evaluación está descrita y es replicable.</t>
        </is>
      </c>
    </row>
    <row r="38">
      <c r="A38" s="23" t="inlineStr">
        <is>
          <t>Q6</t>
        </is>
      </c>
      <c r="B38" s="15" t="inlineStr">
        <is>
          <t>Aporta evidencia que respalda las conclusiones: imágenes, métricas, laboratorio, campo, índices o resultados del modelo.</t>
        </is>
      </c>
    </row>
    <row r="39">
      <c r="A39" s="23" t="inlineStr">
        <is>
          <t>Q7</t>
        </is>
      </c>
      <c r="B39" s="15" t="inlineStr">
        <is>
          <t>Menciona métodos de detección o diagnóstico útiles para IA, app móvil, UAV o visión por computador.</t>
        </is>
      </c>
    </row>
    <row r="40">
      <c r="A40" s="23" t="inlineStr">
        <is>
          <t>Q8</t>
        </is>
      </c>
      <c r="B40" s="15" t="inlineStr">
        <is>
          <t>Indica el contexto geográfico/región (mundial o Latinoamérica) y las condiciones.</t>
        </is>
      </c>
    </row>
    <row r="41">
      <c r="A41" s="23" t="inlineStr">
        <is>
          <t>Q9</t>
        </is>
      </c>
      <c r="B41" s="15" t="inlineStr">
        <is>
          <t>Resultados y conclusiones claros y coherentes con los datos presentados.</t>
        </is>
      </c>
    </row>
    <row r="42">
      <c r="A42" s="23" t="inlineStr">
        <is>
          <t>Q10</t>
        </is>
      </c>
      <c r="B42" s="15" t="inlineStr">
        <is>
          <t>Fuente confiable y actual (revista revisada por pares, citable, año dentro del rango).</t>
        </is>
      </c>
    </row>
    <row r="43">
      <c r="A43" s="23" t="inlineStr">
        <is>
          <t>Puntaje / Nivel</t>
        </is>
      </c>
      <c r="B43" s="15" t="inlineStr">
        <is>
          <t>Total 0–20 →  Alta: 16–20  ·  Media: 11–15  ·  Baja: ≤ 10  (cálculo automático).</t>
        </is>
      </c>
    </row>
    <row r="44">
      <c r="A44" s="47" t="inlineStr">
        <is>
          <t>Validar</t>
        </is>
      </c>
      <c r="B44" s="25" t="n"/>
    </row>
    <row r="45"/>
    <row r="46" ht="27.6" customHeight="1" s="34">
      <c r="A46" s="14" t="inlineStr">
        <is>
          <t>10. Datos a extraer de cada artículo</t>
        </is>
      </c>
      <c r="B46" s="11" t="inlineStr">
        <is>
          <t>ID · Autores · Año · DOI · Enfermedad/plaga · Síntoma foliar · Tipo de imagen/sensor · Técnica IA · Métricas · Región · Aporte al sistema móvil.</t>
        </is>
      </c>
    </row>
    <row r="47"/>
    <row r="48">
      <c r="A48" s="36" t="n"/>
    </row>
  </sheetData>
  <mergeCells count="3">
    <mergeCell ref="A48:B48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D7" sqref="D7"/>
    </sheetView>
  </sheetViews>
  <sheetFormatPr baseColWidth="10" defaultColWidth="8.88671875" defaultRowHeight="14.4"/>
  <cols>
    <col width="12" customWidth="1" style="34" min="1" max="1"/>
    <col width="20" customWidth="1" style="34" min="2" max="2"/>
    <col width="16" customWidth="1" style="34" min="3" max="3"/>
    <col width="55" customWidth="1" style="34" min="4" max="4"/>
    <col width="20" customWidth="1" style="34" min="5" max="6"/>
    <col width="13" customWidth="1" style="34" min="6" max="6"/>
    <col width="16" customWidth="1" style="34" min="7" max="7"/>
    <col width="12" customWidth="1" style="34" min="8" max="8"/>
    <col width="28" customWidth="1" style="34" min="9" max="9"/>
  </cols>
  <sheetData>
    <row r="1" ht="18" customHeight="1" s="34">
      <c r="A1" s="44" t="inlineStr">
        <is>
          <t>CADENAS DE BÚSQUEDA (registro para reproducibilidad)</t>
        </is>
      </c>
    </row>
    <row r="2">
      <c r="A2" s="45" t="inlineStr">
        <is>
          <t>Escribe la cadena EXACTA usada en cada base, con su fecha y nº de resultados. Repite cada cadena en las 4 bases y registra los resultados de cada una. Esto hace tu revisión REPRODUCIBLE.</t>
        </is>
      </c>
    </row>
    <row r="3"/>
    <row r="4" ht="28.8" customHeight="1" s="34">
      <c r="A4" s="48" t="inlineStr">
        <is>
          <t>N.º</t>
        </is>
      </c>
      <c r="B4" s="48" t="inlineStr">
        <is>
          <t>Grupo</t>
        </is>
      </c>
      <c r="C4" s="48" t="inlineStr">
        <is>
          <t>Base de datos</t>
        </is>
      </c>
      <c r="D4" s="48" t="inlineStr">
        <is>
          <t>Cadena de búsqueda exacta</t>
        </is>
      </c>
      <c r="E4" s="48" t="inlineStr">
        <is>
          <t>Campos</t>
        </is>
      </c>
      <c r="F4" s="48" t="inlineStr">
        <is>
          <t>Filtros (años/idioma)</t>
        </is>
      </c>
      <c r="G4" s="48" t="inlineStr">
        <is>
          <t>Fecha de búsqueda</t>
        </is>
      </c>
      <c r="H4" s="48" t="inlineStr">
        <is>
          <t>N.º resultados</t>
        </is>
      </c>
      <c r="I4" s="48" t="inlineStr">
        <is>
          <t>Notas</t>
        </is>
      </c>
    </row>
    <row r="5" ht="55.2" customHeight="1" s="34">
      <c r="A5" s="48" t="n">
        <v>1</v>
      </c>
      <c r="B5" s="48" t="inlineStr">
        <is>
          <t>TODOS</t>
        </is>
      </c>
      <c r="C5" s="48" t="inlineStr">
        <is>
          <t>Scopus</t>
        </is>
      </c>
      <c r="D5" s="48" t="inlineStr">
        <is>
          <t>TITLE-ABS-KEY(("avocado" OR "Persea americana") AND ("leaf" OR "leaves" OR "foliar") AND ("disease" OR "pathogen" OR "pest" OR "symptom"))</t>
        </is>
      </c>
      <c r="E5" s="48" t="inlineStr">
        <is>
          <t>Título-Resumen-Keywords</t>
        </is>
      </c>
      <c r="F5" s="48" t="inlineStr">
        <is>
          <t>2010-2026; es/en</t>
        </is>
      </c>
      <c r="G5" s="48" t="inlineStr">
        <is>
          <t>2026-09-21</t>
        </is>
      </c>
      <c r="H5" s="19" t="n"/>
      <c r="I5" s="48" t="inlineStr">
        <is>
          <t>Búsqueda amplia para enfermedades y plagas foliares.</t>
        </is>
      </c>
    </row>
    <row r="6" ht="27.6" customHeight="1" s="34">
      <c r="A6" s="48" t="n">
        <v>2</v>
      </c>
      <c r="B6" s="48" t="inlineStr">
        <is>
          <t>Antracnosis</t>
        </is>
      </c>
      <c r="C6" s="48" t="inlineStr">
        <is>
          <t>Scopus</t>
        </is>
      </c>
      <c r="D6" s="48" t="inlineStr">
        <is>
          <t>TITLE-ABS-KEY(("avocado" OR "Persea americana") AND ("leaf" OR "leaves" OR "foliar") AND ("anthracnose" OR "Colletotrichum"))</t>
        </is>
      </c>
      <c r="E6" s="48" t="inlineStr">
        <is>
          <t>Título-Resumen-Keywords</t>
        </is>
      </c>
      <c r="F6" s="48" t="inlineStr">
        <is>
          <t>2010-2026; es/en</t>
        </is>
      </c>
      <c r="G6" s="48" t="inlineStr">
        <is>
          <t>2026-09-21</t>
        </is>
      </c>
      <c r="H6" s="19" t="n"/>
      <c r="I6" s="48" t="inlineStr">
        <is>
          <t>Prioridad alta por lesiones foliares y detección visual.</t>
        </is>
      </c>
    </row>
    <row r="7" ht="27.6" customHeight="1" s="34">
      <c r="A7" s="48" t="n">
        <v>3</v>
      </c>
      <c r="B7" s="48" t="inlineStr">
        <is>
          <t>Cercospora</t>
        </is>
      </c>
      <c r="C7" s="48" t="inlineStr">
        <is>
          <t>Scopus</t>
        </is>
      </c>
      <c r="D7" s="48" t="inlineStr">
        <is>
          <t>TITLE-ABS-KEY(("avocado" OR "Persea americana") AND ("Pseudocercospora purpurea" OR "Cercospora purpurea" OR "black spot" OR "Cercospora spot") AND ("leaf" OR "foliar" OR "leaves"))</t>
        </is>
      </c>
      <c r="E7" s="48" t="inlineStr">
        <is>
          <t>Título-Resumen-Keywords</t>
        </is>
      </c>
      <c r="F7" s="48" t="inlineStr">
        <is>
          <t>2010-2026; es/en</t>
        </is>
      </c>
      <c r="G7" s="48" t="inlineStr">
        <is>
          <t>2026-09-21</t>
        </is>
      </c>
      <c r="H7" s="19" t="n"/>
      <c r="I7" s="48" t="inlineStr">
        <is>
          <t>Mancha negra y síntomas visuales.</t>
        </is>
      </c>
    </row>
    <row r="8" ht="27.6" customHeight="1" s="34">
      <c r="A8" s="48" t="n">
        <v>4</v>
      </c>
      <c r="B8" s="48" t="inlineStr">
        <is>
          <t>Acaros</t>
        </is>
      </c>
      <c r="C8" s="48" t="inlineStr">
        <is>
          <t>Scopus</t>
        </is>
      </c>
      <c r="D8" s="48" t="inlineStr">
        <is>
          <t>TITLE-ABS-KEY(("avocado" OR "Persea americana") AND ("Oligonychus perseae" OR "Oligonychus punicae" OR "spider mite" OR "red mite") AND ("leaf" OR "foliar" OR "chlorophyll"))</t>
        </is>
      </c>
      <c r="E8" s="48" t="inlineStr">
        <is>
          <t>Título-Resumen-Keywords</t>
        </is>
      </c>
      <c r="F8" s="48" t="inlineStr">
        <is>
          <t>2010-2026; es/en</t>
        </is>
      </c>
      <c r="G8" s="48" t="inlineStr">
        <is>
          <t>2026-09-21</t>
        </is>
      </c>
      <c r="H8" s="19" t="n"/>
      <c r="I8" s="48" t="inlineStr">
        <is>
          <t>Plagas foliares con síntomas visuales.</t>
        </is>
      </c>
    </row>
    <row r="9" ht="27.6" customHeight="1" s="34">
      <c r="A9" s="48" t="n">
        <v>5</v>
      </c>
      <c r="B9" s="48" t="inlineStr">
        <is>
          <t>Tizon foliar</t>
        </is>
      </c>
      <c r="C9" s="48" t="inlineStr">
        <is>
          <t>Scopus</t>
        </is>
      </c>
      <c r="D9" s="48" t="inlineStr">
        <is>
          <t>TITLE-ABS-KEY(("avocado" OR "Persea americana") AND ("leaf blight" OR "foliar blight" OR "necrotic leaf lesion") AND ("Pestalotiopsis" OR "Neopestalotiopsis" OR "Pseudopestalotiopsis" OR "Colletotrichum fructicola"))</t>
        </is>
      </c>
      <c r="E9" s="48" t="inlineStr">
        <is>
          <t>Título-Resumen-Keywords</t>
        </is>
      </c>
      <c r="F9" s="48" t="inlineStr">
        <is>
          <t>2010-2026; es/en</t>
        </is>
      </c>
      <c r="G9" s="48" t="inlineStr">
        <is>
          <t>2026-09-21</t>
        </is>
      </c>
      <c r="H9" s="19" t="n"/>
      <c r="I9" s="48" t="inlineStr">
        <is>
          <t>Tizón, lesiones necróticas y diagnóstico diferencial.</t>
        </is>
      </c>
    </row>
    <row r="10" ht="27.6" customHeight="1" s="34">
      <c r="A10" s="48" t="n">
        <v>6</v>
      </c>
      <c r="B10" s="48" t="inlineStr">
        <is>
          <t>Agallas foliares</t>
        </is>
      </c>
      <c r="C10" s="48" t="inlineStr">
        <is>
          <t>Scopus</t>
        </is>
      </c>
      <c r="D10" s="48" t="inlineStr">
        <is>
          <t>TITLE-ABS-KEY(("avocado" OR "Persea americana") AND ("leaf gall" OR "foliar gall" OR "Trioza anceps" OR "Trioza perseae"))</t>
        </is>
      </c>
      <c r="E10" s="48" t="inlineStr">
        <is>
          <t>Título-Resumen-Keywords</t>
        </is>
      </c>
      <c r="F10" s="48" t="inlineStr">
        <is>
          <t>2010-2026; es/en</t>
        </is>
      </c>
      <c r="G10" s="48" t="inlineStr">
        <is>
          <t>2026-09-21</t>
        </is>
      </c>
      <c r="H10" s="19" t="n"/>
      <c r="I10" s="48" t="inlineStr">
        <is>
          <t>Clase visual potencial.</t>
        </is>
      </c>
    </row>
    <row r="11" ht="27.6" customHeight="1" s="34">
      <c r="A11" s="48" t="n">
        <v>7</v>
      </c>
      <c r="B11" s="48" t="inlineStr">
        <is>
          <t>Vision artificial</t>
        </is>
      </c>
      <c r="C11" s="48" t="inlineStr">
        <is>
          <t>IEEE Xplore</t>
        </is>
      </c>
      <c r="D11" s="48" t="inlineStr">
        <is>
          <t>("avocado" AND "leaf disease") OR ("avocado" AND "leaf disease classification")</t>
        </is>
      </c>
      <c r="E11" s="48" t="inlineStr">
        <is>
          <t>Metadata IEEE</t>
        </is>
      </c>
      <c r="F11" s="48" t="inlineStr">
        <is>
          <t>2010-2026; es/en</t>
        </is>
      </c>
      <c r="G11" s="48" t="inlineStr">
        <is>
          <t>2026-09-21</t>
        </is>
      </c>
      <c r="H11" s="19" t="n"/>
      <c r="I11" s="48" t="inlineStr">
        <is>
          <t>Cadena específica IEEE para clasificación de hojas de aguacate.</t>
        </is>
      </c>
    </row>
    <row r="12">
      <c r="A12" s="48" t="n">
        <v>8</v>
      </c>
      <c r="B12" s="48" t="inlineStr">
        <is>
          <t>Vision artificial</t>
        </is>
      </c>
      <c r="C12" s="48" t="inlineStr">
        <is>
          <t>IEEE Xplore</t>
        </is>
      </c>
      <c r="D12" s="48" t="inlineStr">
        <is>
          <t>("plant leaf disease" AND ("computer vision" OR "artificial intelligence" OR "deep learning"))</t>
        </is>
      </c>
      <c r="E12" s="48" t="inlineStr">
        <is>
          <t>Metadata IEEE</t>
        </is>
      </c>
      <c r="F12" s="48" t="inlineStr">
        <is>
          <t>2010-2026; es/en</t>
        </is>
      </c>
      <c r="G12" s="48" t="inlineStr">
        <is>
          <t>2026-09-21</t>
        </is>
      </c>
      <c r="H12" s="19" t="n"/>
      <c r="I12" s="48" t="inlineStr">
        <is>
          <t>Antecedentes metodológicos generales.</t>
        </is>
      </c>
    </row>
    <row r="13">
      <c r="A13" s="48" t="n">
        <v>9</v>
      </c>
      <c r="B13" s="48" t="inlineStr">
        <is>
          <t>YOLO</t>
        </is>
      </c>
      <c r="C13" s="48" t="inlineStr">
        <is>
          <t>IEEE Xplore</t>
        </is>
      </c>
      <c r="D13" s="48" t="inlineStr">
        <is>
          <t>("plant leaf disease" AND YOLO) OR ("leaf disease" AND "object detection")</t>
        </is>
      </c>
      <c r="E13" s="48" t="inlineStr">
        <is>
          <t>Metadata IEEE</t>
        </is>
      </c>
      <c r="F13" s="48" t="inlineStr">
        <is>
          <t>2010-2026; es/en</t>
        </is>
      </c>
      <c r="G13" s="48" t="inlineStr">
        <is>
          <t>2026-09-21</t>
        </is>
      </c>
      <c r="H13" s="19" t="n"/>
      <c r="I13" s="48" t="inlineStr">
        <is>
          <t>Detección en tiempo real y modelos livianos.</t>
        </is>
      </c>
    </row>
    <row r="14">
      <c r="A14" s="48" t="n">
        <v>10</v>
      </c>
      <c r="B14" s="48" t="inlineStr">
        <is>
          <t>App móvil</t>
        </is>
      </c>
      <c r="C14" s="48" t="inlineStr">
        <is>
          <t>Scopus/IEEE/WoS</t>
        </is>
      </c>
      <c r="D14" s="48" t="inlineStr">
        <is>
          <t>("plant disease" OR "leaf disease") AND ("mobile application" OR smartphone OR Android) AND ("deep learning" OR CNN OR "computer vision")</t>
        </is>
      </c>
      <c r="E14" s="48" t="inlineStr">
        <is>
          <t>Título-Resumen-Keywords</t>
        </is>
      </c>
      <c r="F14" s="48" t="inlineStr">
        <is>
          <t>2010-2026; es/en</t>
        </is>
      </c>
      <c r="G14" s="48" t="inlineStr">
        <is>
          <t>2026-09-21</t>
        </is>
      </c>
      <c r="H14" s="19" t="n"/>
      <c r="I14" s="48" t="inlineStr">
        <is>
          <t>Para justificar integración futura en app móvil.</t>
        </is>
      </c>
    </row>
  </sheetData>
  <autoFilter ref="A4:I14"/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topLeftCell="A50" zoomScale="95" zoomScaleNormal="95" workbookViewId="0">
      <selection activeCell="D57" sqref="D57"/>
    </sheetView>
  </sheetViews>
  <sheetFormatPr baseColWidth="10" defaultColWidth="8.88671875" defaultRowHeight="14.4"/>
  <cols>
    <col width="12" customWidth="1" style="34" min="1" max="1"/>
    <col width="16" customWidth="1" style="34" min="2" max="2"/>
    <col width="55" customWidth="1" style="34" min="3" max="3"/>
    <col width="24" customWidth="1" style="34" min="4" max="4"/>
    <col width="12" customWidth="1" style="34" min="5" max="5"/>
    <col width="24" customWidth="1" style="34" min="6" max="6"/>
    <col width="45" customWidth="1" style="34" min="7" max="7"/>
    <col width="55" customWidth="1" style="34" min="8" max="8"/>
    <col width="17" customWidth="1" style="34" min="9" max="9"/>
    <col width="55" customWidth="1" style="34" min="10" max="10"/>
    <col width="22" customWidth="1" style="34" min="11" max="11"/>
    <col width="19" customWidth="1" style="34" min="12" max="12"/>
  </cols>
  <sheetData>
    <row r="1" ht="17.55" customHeight="1" s="34">
      <c r="A1" s="49" t="inlineStr">
        <is>
          <t>Base_consolidada</t>
        </is>
      </c>
    </row>
    <row r="2" ht="28.8" customHeight="1" s="34">
      <c r="A2" s="33" t="inlineStr">
        <is>
          <t>Consolidación inicial adaptada al tema de hojas de aguacate, enfermedades/plagas foliares, IA, visión por computador, UAV y posible aplicación móvil.</t>
        </is>
      </c>
    </row>
    <row r="3" ht="28.8" customHeight="1" s="34">
      <c r="A3" s="50" t="inlineStr">
        <is>
          <t>ID</t>
        </is>
      </c>
      <c r="B3" s="50" t="inlineStr">
        <is>
          <t>Base de datos</t>
        </is>
      </c>
      <c r="C3" s="50" t="inlineStr">
        <is>
          <t>Título completo</t>
        </is>
      </c>
      <c r="D3" s="50" t="inlineStr">
        <is>
          <t>Autores</t>
        </is>
      </c>
      <c r="E3" s="50" t="inlineStr">
        <is>
          <t>Año</t>
        </is>
      </c>
      <c r="F3" s="50" t="inlineStr">
        <is>
          <t>DOI</t>
        </is>
      </c>
      <c r="G3" s="50" t="inlineStr">
        <is>
          <t>Keywords</t>
        </is>
      </c>
      <c r="H3" s="50" t="inlineStr">
        <is>
          <t>Abstract</t>
        </is>
      </c>
      <c r="I3" s="50" t="inlineStr">
        <is>
          <t>Tipo de documento</t>
        </is>
      </c>
      <c r="J3" s="50" t="inlineStr">
        <is>
          <t>Fuente / Revista</t>
        </is>
      </c>
      <c r="K3" s="50" t="inlineStr">
        <is>
          <t>Estado inicial</t>
        </is>
      </c>
      <c r="L3" s="50" t="inlineStr">
        <is>
          <t>Registro fuente</t>
        </is>
      </c>
    </row>
    <row r="4" ht="33.6" customHeight="1" s="34">
      <c r="A4" s="51" t="inlineStr">
        <is>
          <t>H0001</t>
        </is>
      </c>
      <c r="B4" s="51" t="inlineStr">
        <is>
          <t>IEEE Xplore</t>
        </is>
      </c>
      <c r="C4" s="51" t="inlineStr">
        <is>
          <t>Unified Approach for Avocado Leaf Disease Classification: CNN-SVM Fusion</t>
        </is>
      </c>
      <c r="D4" s="51" t="inlineStr">
        <is>
          <t>Mir; Banerjee; Chauhan; Pokhariya; Kumar</t>
        </is>
      </c>
      <c r="E4" s="51" t="n">
        <v>2024</v>
      </c>
      <c r="F4" s="51" t="inlineStr">
        <is>
          <t>10.1109/I2CT61223.2024.10544074</t>
        </is>
      </c>
      <c r="G4" s="51" t="inlineStr">
        <is>
          <t>avocado leaf disease; CNN; SVM; image classification; anthracnose</t>
        </is>
      </c>
      <c r="H4" s="51" t="inlineStr">
        <is>
          <t>Study focused on avocado leaf disease classification using a CNN-SVM fusion approach. It is directly aligned with automated diagnosis of foliar diseases in Persea americana.</t>
        </is>
      </c>
      <c r="I4" s="51" t="inlineStr">
        <is>
          <t>Conference paper</t>
        </is>
      </c>
      <c r="J4" s="51" t="inlineStr">
        <is>
          <t>IEEE I2CT</t>
        </is>
      </c>
      <c r="K4" s="51" t="inlineStr">
        <is>
          <t>Importado / adaptado</t>
        </is>
      </c>
      <c r="L4" s="52" t="inlineStr">
        <is>
          <t>C:\Users\plusm\Desktop\Tesis\Bibliografia\Vision artificial y UAV\IEEE Xplore\Unified Approach for Avocado Leaf Disease Classification_ CNN-SVM Fusion.url</t>
        </is>
      </c>
    </row>
    <row r="5" ht="33.6" customHeight="1" s="34">
      <c r="A5" s="51" t="inlineStr">
        <is>
          <t>H0002</t>
        </is>
      </c>
      <c r="B5" s="51" t="inlineStr">
        <is>
          <t>IEEE Xplore</t>
        </is>
      </c>
      <c r="C5" s="51" t="inlineStr">
        <is>
          <t>Plant Leaf Disease Detection, Classification, and Diagnosis Using Computer Vision and Artificial Intelligence: A Review</t>
        </is>
      </c>
      <c r="D5" s="51" t="inlineStr">
        <is>
          <t>IEEE Access review authors</t>
        </is>
      </c>
      <c r="E5" s="51" t="n">
        <v>2024</v>
      </c>
      <c r="F5" s="51" t="inlineStr">
        <is>
          <t>10.1109/ACCESS.2024.3373001</t>
        </is>
      </c>
      <c r="G5" s="51" t="inlineStr">
        <is>
          <t>plant leaf disease; computer vision; artificial intelligence; deep learning; review</t>
        </is>
      </c>
      <c r="H5" s="51" t="inlineStr">
        <is>
          <t>Review of plant leaf disease detection, classification and diagnosis using computer vision and artificial intelligence.</t>
        </is>
      </c>
      <c r="I5" s="51" t="inlineStr">
        <is>
          <t>Review</t>
        </is>
      </c>
      <c r="J5" s="51" t="inlineStr">
        <is>
          <t>IEEE Access</t>
        </is>
      </c>
      <c r="K5" s="51" t="inlineStr">
        <is>
          <t>Importado / adaptado</t>
        </is>
      </c>
      <c r="L5" s="52" t="inlineStr">
        <is>
          <t>C:\Users\plusm\Desktop\Tesis\Bibliografia\Vision artificial y UAV\IEEE Xplore\Plant Leaf Disease Detection_ Classification_ and Diagnosis Using Computer Vision and Artificial Intelligence_ A Review.url</t>
        </is>
      </c>
    </row>
    <row r="6" ht="33.6" customHeight="1" s="34">
      <c r="A6" s="51" t="inlineStr">
        <is>
          <t>H0003</t>
        </is>
      </c>
      <c r="B6" s="51" t="inlineStr">
        <is>
          <t>IEEE Xplore</t>
        </is>
      </c>
      <c r="C6" s="51" t="inlineStr">
        <is>
          <t>Real-Time Detection and Identification of Plant Leaf Diseases using YOLOv4-tiny</t>
        </is>
      </c>
      <c r="D6" s="51" t="inlineStr">
        <is>
          <t>ICCCNT authors</t>
        </is>
      </c>
      <c r="E6" s="51" t="n">
        <v>2021</v>
      </c>
      <c r="F6" s="51" t="inlineStr">
        <is>
          <t>10.1109/ICCCNT51525.2021.9579783</t>
        </is>
      </c>
      <c r="G6" s="51" t="inlineStr">
        <is>
          <t>YOLOv4-tiny; plant leaf disease; real-time detection; object detection</t>
        </is>
      </c>
      <c r="H6" s="51" t="inlineStr">
        <is>
          <t>Methodological antecedent for real-time detection and identification of plant leaf diseases using a lightweight YOLO model.</t>
        </is>
      </c>
      <c r="I6" s="51" t="inlineStr">
        <is>
          <t>Conference paper</t>
        </is>
      </c>
      <c r="J6" s="51" t="inlineStr">
        <is>
          <t>IEEE ICCCNT</t>
        </is>
      </c>
      <c r="K6" s="51" t="inlineStr">
        <is>
          <t>Importado / adaptado</t>
        </is>
      </c>
      <c r="L6" s="52" t="inlineStr">
        <is>
          <t>C:\Users\plusm\Desktop\Tesis\Bibliografia\Vision artificial y UAV\IEEE Xplore\Real-Time Detection and Identification of Plant Leaf Diseases using YOLOv4-tiny.url</t>
        </is>
      </c>
    </row>
    <row r="7" ht="33.6" customHeight="1" s="34">
      <c r="A7" s="51" t="inlineStr">
        <is>
          <t>H0004</t>
        </is>
      </c>
      <c r="B7" s="51" t="inlineStr">
        <is>
          <t>Scientific Reports</t>
        </is>
      </c>
      <c r="C7" s="51" t="inlineStr">
        <is>
          <t>Spectrally optimised YOLOv10s-SeqOpt framework for real-time UAV-based early detection of avocado foliar diseases in Indian orchards</t>
        </is>
      </c>
      <c r="D7" s="51" t="inlineStr">
        <is>
          <t>Karthik; Govindasamy; Muthusamy; Routray</t>
        </is>
      </c>
      <c r="E7" s="51" t="n">
        <v>2026</v>
      </c>
      <c r="F7" s="51" t="inlineStr">
        <is>
          <t>10.1038/s41598-026-50025-z</t>
        </is>
      </c>
      <c r="G7" s="51" t="inlineStr">
        <is>
          <t>avocado; foliar diseases; UAV; YOLOv10s; deep learning; early detection</t>
        </is>
      </c>
      <c r="H7" s="51" t="inlineStr">
        <is>
          <t>Direct study on UAV-based early detection of avocado foliar diseases using an optimized YOLOv10s framework.</t>
        </is>
      </c>
      <c r="I7" s="51" t="inlineStr">
        <is>
          <t>Article</t>
        </is>
      </c>
      <c r="J7" s="51" t="inlineStr">
        <is>
          <t>Scientific Reports</t>
        </is>
      </c>
      <c r="K7" s="51" t="inlineStr">
        <is>
          <t>Importado / adaptado</t>
        </is>
      </c>
      <c r="L7" s="52" t="inlineStr">
        <is>
          <t>C:\Users\plusm\Desktop\Tesis\Bibliografia\Antracnosis\s41598-026-50025-z.pdf</t>
        </is>
      </c>
    </row>
    <row r="8" ht="33.6" customHeight="1" s="34">
      <c r="A8" s="51" t="inlineStr">
        <is>
          <t>H0005</t>
        </is>
      </c>
      <c r="B8" s="51" t="inlineStr">
        <is>
          <t>AgriEngineering</t>
        </is>
      </c>
      <c r="C8" s="51" t="inlineStr">
        <is>
          <t>Spatial Mapping of Avocado Anthracnose Severity Using UAV-Derived Vegetation Indices in Amazonas, Peru</t>
        </is>
      </c>
      <c r="D8" s="51" t="inlineStr">
        <is>
          <t>Guelac-Santillan et al.</t>
        </is>
      </c>
      <c r="E8" s="51" t="n">
        <v>2026</v>
      </c>
      <c r="F8" s="51" t="inlineStr"/>
      <c r="G8" s="51" t="inlineStr">
        <is>
          <t>avocado; anthracnose; UAV; vegetation indices; severity mapping; Peru</t>
        </is>
      </c>
      <c r="H8" s="51" t="inlineStr">
        <is>
          <t>Maps avocado anthracnose severity using UAV-derived vegetation indices in Amazonas, Peru.</t>
        </is>
      </c>
      <c r="I8" s="51" t="inlineStr">
        <is>
          <t>Article</t>
        </is>
      </c>
      <c r="J8" s="51" t="inlineStr">
        <is>
          <t>AgriEngineering</t>
        </is>
      </c>
      <c r="K8" s="51" t="inlineStr">
        <is>
          <t>Importado / adaptado</t>
        </is>
      </c>
      <c r="L8" s="52" t="inlineStr">
        <is>
          <t>C:\Users\plusm\Desktop\Tesis\Bibliografia\Antracnosis\agriengineering-08-00340.pdf</t>
        </is>
      </c>
    </row>
    <row r="9" ht="33.6" customHeight="1" s="34">
      <c r="A9" s="51" t="inlineStr">
        <is>
          <t>H0006</t>
        </is>
      </c>
      <c r="B9" s="51" t="inlineStr">
        <is>
          <t>International Journal of Plant Biology</t>
        </is>
      </c>
      <c r="C9" s="51" t="inlineStr">
        <is>
          <t>Colletotrichum fructicola Causes Necrotic Leaf Lesions in Avocado (Persea americana) in Amazonas, Peru: First Record and In Vitro Control Using Piper Essential Oils</t>
        </is>
      </c>
      <c r="D9" s="51" t="inlineStr">
        <is>
          <t>Authors not extracted</t>
        </is>
      </c>
      <c r="E9" s="51" t="n">
        <v>2026</v>
      </c>
      <c r="F9" s="51" t="inlineStr"/>
      <c r="G9" s="51" t="inlineStr">
        <is>
          <t>Colletotrichum fructicola; avocado; necrotic leaf lesions; Peru; leaf disease</t>
        </is>
      </c>
      <c r="H9" s="51" t="inlineStr">
        <is>
          <t>Reports Colletotrichum fructicola causing necrotic leaf lesions in avocado in Amazonas, Peru.</t>
        </is>
      </c>
      <c r="I9" s="51" t="inlineStr">
        <is>
          <t>Article</t>
        </is>
      </c>
      <c r="J9" s="51" t="inlineStr">
        <is>
          <t>International Journal of Plant Biology</t>
        </is>
      </c>
      <c r="K9" s="51" t="inlineStr">
        <is>
          <t>Importado / adaptado</t>
        </is>
      </c>
      <c r="L9" s="52" t="inlineStr">
        <is>
          <t>C:\Users\plusm\Desktop\Tesis\Bibliografia\Tizón de la hoja\ijpb-17-00010.pdf</t>
        </is>
      </c>
    </row>
    <row r="10" ht="33.6" customHeight="1" s="34">
      <c r="A10" s="51" t="inlineStr">
        <is>
          <t>H0007</t>
        </is>
      </c>
      <c r="B10" s="51" t="inlineStr">
        <is>
          <t>Revista Colombiana de Ciencias Hortícolas</t>
        </is>
      </c>
      <c r="C10" s="51" t="inlineStr">
        <is>
          <t>Validation of black spot management strategies in avocado crops in northern Tolima (Colombia)</t>
        </is>
      </c>
      <c r="D10" s="51" t="inlineStr">
        <is>
          <t>Rodríguez-Polanco et al.</t>
        </is>
      </c>
      <c r="E10" s="51" t="n">
        <v>2020</v>
      </c>
      <c r="F10" s="51" t="inlineStr">
        <is>
          <t>10.17584/rcch.2020v14i2.10169</t>
        </is>
      </c>
      <c r="G10" s="51" t="inlineStr">
        <is>
          <t>Pseudocercospora purpurea; avocado; black spot; Cercospora; management</t>
        </is>
      </c>
      <c r="H10" s="51" t="inlineStr">
        <is>
          <t>Evaluates management strategies for black spot caused by Pseudocercospora purpurea in avocado crops in Colombia.</t>
        </is>
      </c>
      <c r="I10" s="51" t="inlineStr">
        <is>
          <t>Article</t>
        </is>
      </c>
      <c r="J10" s="51" t="inlineStr">
        <is>
          <t>Revista Colombiana de Ciencias Hortícolas</t>
        </is>
      </c>
      <c r="K10" s="51" t="inlineStr">
        <is>
          <t>Importado / adaptado</t>
        </is>
      </c>
      <c r="L10" s="52" t="inlineStr">
        <is>
          <t>C:\Users\plusm\Desktop\Tesis\Bibliografia\Cercospora\rcch,+03_Validation+of+black+spot+[(Pseudocercospora+purpurea+(Cooke)+Deighton]+management+strategies+in+avocado+crops+in+norther.pdf</t>
        </is>
      </c>
    </row>
    <row r="11" ht="33.6" customHeight="1" s="34">
      <c r="A11" s="51" t="inlineStr">
        <is>
          <t>H0008</t>
        </is>
      </c>
      <c r="B11" s="51" t="inlineStr">
        <is>
          <t>Journal of Sol-Gel Science and Technology</t>
        </is>
      </c>
      <c r="C11" s="51" t="inlineStr">
        <is>
          <t>Silica-based nanomaterials for the control of Trioza anceps: Laboratory bioassays and preliminary field observations</t>
        </is>
      </c>
      <c r="D11" s="51" t="inlineStr">
        <is>
          <t>Cinto-Alarcon et al.</t>
        </is>
      </c>
      <c r="E11" s="51" t="n">
        <v>2026</v>
      </c>
      <c r="F11" s="51" t="inlineStr">
        <is>
          <t>10.1007/s10971-026-07179-z</t>
        </is>
      </c>
      <c r="G11" s="51" t="inlineStr">
        <is>
          <t>Trioza anceps; avocado; leaf gall; foliar gall; control</t>
        </is>
      </c>
      <c r="H11" s="51" t="inlineStr">
        <is>
          <t>Evaluates silica-based nanomaterials for control of Trioza anceps, a foliar gall pest in avocado.</t>
        </is>
      </c>
      <c r="I11" s="51" t="inlineStr">
        <is>
          <t>Article</t>
        </is>
      </c>
      <c r="J11" s="51" t="inlineStr">
        <is>
          <t>Journal of Sol-Gel Science and Technology</t>
        </is>
      </c>
      <c r="K11" s="51" t="inlineStr">
        <is>
          <t>Importado / adaptado</t>
        </is>
      </c>
      <c r="L11" s="52" t="inlineStr">
        <is>
          <t>C:\Users\plusm\Desktop\Tesis\Bibliografia\Agallas foliares\s10971-026-07179-z.pdf</t>
        </is>
      </c>
    </row>
    <row r="12" ht="33.6" customHeight="1" s="34">
      <c r="A12" s="51" t="inlineStr">
        <is>
          <t>H0009</t>
        </is>
      </c>
      <c r="B12" s="51" t="inlineStr">
        <is>
          <t>Journal of Economic Entomology</t>
        </is>
      </c>
      <c r="C12" s="51" t="inlineStr">
        <is>
          <t>Biocontrol Potential of Neoseiulus californicus Against Oligonychus punicae in Avocado</t>
        </is>
      </c>
      <c r="D12" s="51" t="inlineStr">
        <is>
          <t>Oliveira et al.</t>
        </is>
      </c>
      <c r="E12" s="51" t="n">
        <v>2021</v>
      </c>
      <c r="F12" s="51" t="inlineStr">
        <is>
          <t>10.1093/jee/toab029</t>
        </is>
      </c>
      <c r="G12" s="51" t="inlineStr">
        <is>
          <t>Oligonychus punicae; avocado; mite; biocontrol; Neoseiulus californicus</t>
        </is>
      </c>
      <c r="H12" s="51" t="inlineStr">
        <is>
          <t>Evaluates the biocontrol potential of Neoseiulus californicus against Oligonychus punicae in avocado.</t>
        </is>
      </c>
      <c r="I12" s="51" t="inlineStr">
        <is>
          <t>Article</t>
        </is>
      </c>
      <c r="J12" s="51" t="inlineStr">
        <is>
          <t>Journal of Economic Entomology</t>
        </is>
      </c>
      <c r="K12" s="51" t="inlineStr">
        <is>
          <t>Importado / adaptado</t>
        </is>
      </c>
      <c r="L12" s="52" t="inlineStr">
        <is>
          <t>C:\Users\plusm\Desktop\Tesis\Bibliografia\_Bibliografia adicional 2026\06_Arana_roja_Oligonychus_punicae_Oliveira_2021.url</t>
        </is>
      </c>
    </row>
    <row r="13" ht="33.6" customHeight="1" s="34">
      <c r="A13" s="51" t="inlineStr">
        <is>
          <t>H0010</t>
        </is>
      </c>
      <c r="B13" s="51" t="inlineStr">
        <is>
          <t>Plant Health Progress</t>
        </is>
      </c>
      <c r="C13" s="51" t="inlineStr">
        <is>
          <t>Avocado Scab Caused by Elsinoe perseae: A Diagnostic Guide</t>
        </is>
      </c>
      <c r="D13" s="51" t="inlineStr">
        <is>
          <t>Belizaire; Gañán-Betancur; Gazis</t>
        </is>
      </c>
      <c r="E13" s="51" t="n">
        <v>2024</v>
      </c>
      <c r="F13" s="51" t="inlineStr">
        <is>
          <t>10.1094/PHP-10-23-0084-DG</t>
        </is>
      </c>
      <c r="G13" s="51" t="inlineStr">
        <is>
          <t>avocado scab; Elsinoe perseae; diagnosis; disease guide</t>
        </is>
      </c>
      <c r="H13" s="51" t="inlineStr">
        <is>
          <t>Diagnostic guide for avocado scab caused by Elsinoe perseae.</t>
        </is>
      </c>
      <c r="I13" s="51" t="inlineStr">
        <is>
          <t>Diagnostic guide</t>
        </is>
      </c>
      <c r="J13" s="51" t="inlineStr">
        <is>
          <t>Plant Health Progress</t>
        </is>
      </c>
      <c r="K13" s="51" t="inlineStr">
        <is>
          <t>Importado / adaptado</t>
        </is>
      </c>
      <c r="L13" s="52" t="inlineStr">
        <is>
          <t>C:\Users\plusm\Desktop\Tesis\Bibliografia\Roña\09_Rona_Scab_Belizaire_2024.url</t>
        </is>
      </c>
    </row>
    <row r="14" ht="33.6" customHeight="1" s="34">
      <c r="A14" s="51" t="inlineStr">
        <is>
          <t>H0011</t>
        </is>
      </c>
      <c r="B14" s="51" t="inlineStr">
        <is>
          <t>Journal</t>
        </is>
      </c>
      <c r="C14" s="51" t="inlineStr">
        <is>
          <t>Real-time hass avocado ripeness detection using close-range UAV imagery and YOLO-based deep learning</t>
        </is>
      </c>
      <c r="D14" s="51" t="inlineStr">
        <is>
          <t>Tudela Taco; Quispe Accostupa; Sulla Espinoza</t>
        </is>
      </c>
      <c r="E14" s="51" t="n">
        <v>2026</v>
      </c>
      <c r="F14" s="51" t="inlineStr"/>
      <c r="G14" s="51" t="inlineStr">
        <is>
          <t>avocado; UAV imagery; YOLO; deep learning; ripeness detection</t>
        </is>
      </c>
      <c r="H14" s="51" t="inlineStr">
        <is>
          <t>Uses close-range UAV imagery and YOLO-based deep learning for real-time Hass avocado ripeness detection.</t>
        </is>
      </c>
      <c r="I14" s="51" t="inlineStr">
        <is>
          <t>Article</t>
        </is>
      </c>
      <c r="J14" s="51" t="inlineStr">
        <is>
          <t>Local PDF</t>
        </is>
      </c>
      <c r="K14" s="51" t="inlineStr">
        <is>
          <t>Importado / adaptado</t>
        </is>
      </c>
      <c r="L14" s="52" t="inlineStr">
        <is>
          <t>C:\Users\plusm\Desktop\Tesis\Bibliografia\Vision artificial y UAV\Real-time hass avocado ripeness detection using close-range UAV imagery and YOLO-based deep learning.pdf</t>
        </is>
      </c>
    </row>
    <row r="15" ht="33.6" customHeight="1" s="34">
      <c r="A15" s="51" t="inlineStr">
        <is>
          <t>H0012</t>
        </is>
      </c>
      <c r="B15" s="51" t="inlineStr">
        <is>
          <t>Scientific Reports</t>
        </is>
      </c>
      <c r="C15" s="51" t="inlineStr">
        <is>
          <t>Simultaneously prediction of multiple wheat leaf phenotypes using hyperspectral imaging with multi-task machine and deep learning</t>
        </is>
      </c>
      <c r="D15" s="51" t="inlineStr">
        <is>
          <t>Fu et al.</t>
        </is>
      </c>
      <c r="E15" s="51" t="n">
        <v>2026</v>
      </c>
      <c r="F15" s="51" t="inlineStr"/>
      <c r="G15" s="51" t="inlineStr">
        <is>
          <t>hyperspectral imaging; leaf phenotype; machine learning; deep learning</t>
        </is>
      </c>
      <c r="H15" s="51" t="inlineStr">
        <is>
          <t>Methodological reference for hyperspectral imaging and multi-task learning applied to leaf phenotype prediction.</t>
        </is>
      </c>
      <c r="I15" s="51" t="inlineStr">
        <is>
          <t>Article</t>
        </is>
      </c>
      <c r="J15" s="51" t="inlineStr">
        <is>
          <t>Local PDF</t>
        </is>
      </c>
      <c r="K15" s="51" t="inlineStr">
        <is>
          <t>Importado / adaptado</t>
        </is>
      </c>
      <c r="L15" s="52" t="inlineStr">
        <is>
          <t>C:\Users\plusm\Desktop\Tesis\Bibliografia\Cultivos comparativos\Simultaneously prediction of multiple wheat leaf phenotypes using.pdf</t>
        </is>
      </c>
    </row>
    <row r="16" ht="33.6" customHeight="1" s="34"/>
    <row r="17" ht="33.6" customHeight="1" s="34"/>
    <row r="18" ht="33.6" customHeight="1" s="34"/>
    <row r="19" ht="33.6" customHeight="1" s="34"/>
    <row r="20" ht="33.6" customHeight="1" s="34"/>
    <row r="21" ht="33.6" customHeight="1" s="34"/>
    <row r="22" ht="33.6" customHeight="1" s="34"/>
    <row r="23" ht="33.6" customHeight="1" s="34"/>
    <row r="24" ht="33.6" customHeight="1" s="34"/>
    <row r="25" ht="33.6" customHeight="1" s="34"/>
    <row r="26" ht="33.6" customHeight="1" s="34"/>
    <row r="27" ht="33.6" customHeight="1" s="34"/>
    <row r="28" ht="33.6" customHeight="1" s="34"/>
    <row r="29" ht="33.6" customHeight="1" s="34"/>
    <row r="30" ht="33.6" customHeight="1" s="34"/>
    <row r="31" ht="33.6" customHeight="1" s="34"/>
    <row r="32" ht="33.6" customHeight="1" s="34"/>
    <row r="33" ht="33.6" customHeight="1" s="34"/>
    <row r="34" ht="33.6" customHeight="1" s="34"/>
    <row r="35" ht="33.6" customHeight="1" s="34"/>
    <row r="36" ht="33.6" customHeight="1" s="34"/>
    <row r="37" ht="33.6" customHeight="1" s="34"/>
    <row r="38" ht="33.6" customHeight="1" s="34"/>
    <row r="39" ht="33.6" customHeight="1" s="34"/>
    <row r="40" ht="33.6" customHeight="1" s="34"/>
    <row r="41" ht="33.6" customHeight="1" s="34"/>
    <row r="42" ht="33.6" customHeight="1" s="34"/>
    <row r="43" ht="33.6" customHeight="1" s="34"/>
    <row r="44" ht="33.6" customHeight="1" s="34"/>
    <row r="45" ht="33.6" customHeight="1" s="34"/>
    <row r="46" ht="33.6" customHeight="1" s="34"/>
    <row r="47" ht="33.6" customHeight="1" s="34"/>
    <row r="48" ht="33.6" customHeight="1" s="34"/>
    <row r="49" ht="33.6" customHeight="1" s="34"/>
    <row r="50" ht="33.6" customHeight="1" s="34"/>
    <row r="51" ht="33.6" customHeight="1" s="34"/>
    <row r="52" ht="33.6" customHeight="1" s="34"/>
    <row r="53" ht="33.6" customHeight="1" s="34"/>
    <row r="54" ht="33.6" customHeight="1" s="34"/>
    <row r="55" ht="33.6" customHeight="1" s="34"/>
    <row r="56" ht="33.6" customHeight="1" s="34"/>
    <row r="57" ht="33.6" customHeight="1" s="34"/>
    <row r="58" ht="33.6" customHeight="1" s="34"/>
    <row r="59" ht="33.6" customHeight="1" s="34"/>
    <row r="60" ht="33.6" customHeight="1" s="34"/>
    <row r="61" ht="33.6" customHeight="1" s="34"/>
    <row r="62" ht="33.6" customHeight="1" s="34"/>
    <row r="63" ht="33.6" customHeight="1" s="34"/>
    <row r="64" ht="33.6" customHeight="1" s="34"/>
    <row r="65" ht="33.6" customHeight="1" s="34"/>
    <row r="66" ht="33.6" customHeight="1" s="34"/>
    <row r="67" ht="33.6" customHeight="1" s="34"/>
    <row r="68" ht="33.6" customHeight="1" s="34"/>
    <row r="69" ht="33.6" customHeight="1" s="34"/>
    <row r="70" ht="33.6" customHeight="1" s="34"/>
    <row r="71" ht="33.6" customHeight="1" s="34"/>
    <row r="72" ht="33.6" customHeight="1" s="34"/>
    <row r="73" ht="33.6" customHeight="1" s="34"/>
    <row r="74" ht="33.6" customHeight="1" s="34"/>
    <row r="75" ht="33.6" customHeight="1" s="34"/>
    <row r="76" ht="33.6" customHeight="1" s="34"/>
    <row r="77" ht="33.6" customHeight="1" s="34"/>
    <row r="78" ht="33.6" customHeight="1" s="34"/>
    <row r="79" ht="33.6" customHeight="1" s="34"/>
    <row r="80" ht="33.6" customHeight="1" s="34"/>
    <row r="81" ht="33.6" customHeight="1" s="34"/>
    <row r="82" ht="33.6" customHeight="1" s="34"/>
    <row r="83" ht="33.6" customHeight="1" s="34"/>
    <row r="84" ht="33.6" customHeight="1" s="34"/>
    <row r="85" ht="33.6" customHeight="1" s="34"/>
    <row r="86" ht="33.6" customHeight="1" s="34"/>
    <row r="87" ht="33.6" customHeight="1" s="34"/>
    <row r="88" ht="33.6" customHeight="1" s="34"/>
    <row r="89" ht="33.6" customHeight="1" s="34"/>
    <row r="90" ht="33.6" customHeight="1" s="34"/>
    <row r="91" ht="33.6" customHeight="1" s="34"/>
    <row r="92" ht="33.6" customHeight="1" s="34"/>
    <row r="93" ht="33.6" customHeight="1" s="34"/>
    <row r="94" ht="33.6" customHeight="1" s="34"/>
    <row r="95" ht="33.6" customHeight="1" s="34"/>
    <row r="96" ht="33.6" customHeight="1" s="34"/>
    <row r="97" ht="33.6" customHeight="1" s="34"/>
    <row r="98" ht="33.6" customHeight="1" s="34"/>
    <row r="99" ht="33.6" customHeight="1" s="34"/>
    <row r="100" ht="33.6" customHeight="1" s="34"/>
    <row r="101" ht="33.6" customHeight="1" s="34"/>
    <row r="102" ht="33.6" customHeight="1" s="34"/>
    <row r="103" ht="33.6" customHeight="1" s="34"/>
    <row r="104" ht="33.6" customHeight="1" s="34"/>
    <row r="105" ht="33.6" customHeight="1" s="34"/>
    <row r="106" ht="33.6" customHeight="1" s="34"/>
    <row r="107" ht="33.6" customHeight="1" s="34"/>
    <row r="108" ht="33.6" customHeight="1" s="34"/>
    <row r="109" ht="33.6" customHeight="1" s="34"/>
    <row r="110" ht="33.6" customHeight="1" s="34"/>
    <row r="111" ht="33.6" customHeight="1" s="34"/>
    <row r="112" ht="33.6" customHeight="1" s="34"/>
    <row r="113" ht="33.6" customHeight="1" s="34"/>
    <row r="114" ht="33.6" customHeight="1" s="34"/>
    <row r="115" ht="33.6" customHeight="1" s="34"/>
    <row r="116" ht="33.6" customHeight="1" s="34"/>
    <row r="117" ht="33.6" customHeight="1" s="34"/>
    <row r="118" ht="33.6" customHeight="1" s="34"/>
    <row r="119" ht="33.6" customHeight="1" s="34"/>
    <row r="120" ht="33.6" customHeight="1" s="34"/>
    <row r="121" ht="33.6" customHeight="1" s="34"/>
    <row r="122" ht="33.6" customHeight="1" s="34"/>
    <row r="123" ht="33.6" customHeight="1" s="34"/>
    <row r="124" ht="33.6" customHeight="1" s="34"/>
    <row r="125" ht="33.6" customHeight="1" s="34"/>
    <row r="126" ht="33.6" customHeight="1" s="34"/>
    <row r="127" ht="33.6" customHeight="1" s="34"/>
    <row r="128" ht="33.6" customHeight="1" s="34"/>
    <row r="129" ht="33.6" customHeight="1" s="34"/>
    <row r="130" ht="33.6" customHeight="1" s="34"/>
    <row r="131" ht="33.6" customHeight="1" s="34"/>
    <row r="132" ht="33.6" customHeight="1" s="34"/>
    <row r="133" ht="33.6" customHeight="1" s="34"/>
    <row r="134" ht="33.6" customHeight="1" s="34"/>
    <row r="135" ht="33.6" customHeight="1" s="34"/>
    <row r="136" ht="33.6" customHeight="1" s="34"/>
    <row r="137" ht="33.6" customHeight="1" s="34"/>
    <row r="138" ht="33.6" customHeight="1" s="34"/>
    <row r="139" ht="33.6" customHeight="1" s="34"/>
    <row r="140" ht="33.6" customHeight="1" s="34"/>
    <row r="141" ht="33.6" customHeight="1" s="34"/>
    <row r="142" ht="33.6" customHeight="1" s="34"/>
    <row r="143" ht="33.6" customHeight="1" s="34"/>
    <row r="144" ht="33.6" customHeight="1" s="34"/>
    <row r="145" ht="33.6" customHeight="1" s="34"/>
    <row r="146" ht="33.6" customHeight="1" s="34"/>
    <row r="147" ht="33.6" customHeight="1" s="34"/>
    <row r="148" ht="33.6" customHeight="1" s="34"/>
    <row r="149" ht="33.6" customHeight="1" s="34"/>
    <row r="150" ht="33.6" customHeight="1" s="34"/>
    <row r="151" ht="33.6" customHeight="1" s="34"/>
    <row r="152" ht="33.6" customHeight="1" s="34"/>
    <row r="153" ht="33.6" customHeight="1" s="34"/>
    <row r="154" ht="33.6" customHeight="1" s="34"/>
    <row r="155" ht="33.6" customHeight="1" s="34"/>
    <row r="156" ht="33.6" customHeight="1" s="34"/>
    <row r="157" ht="33.6" customHeight="1" s="34"/>
    <row r="158" ht="33.6" customHeight="1" s="34"/>
    <row r="159" ht="33.6" customHeight="1" s="34"/>
    <row r="160" ht="33.6" customHeight="1" s="34"/>
    <row r="161" ht="33.6" customHeight="1" s="34"/>
    <row r="162" ht="33.6" customHeight="1" s="34"/>
    <row r="163" ht="33.6" customHeight="1" s="34"/>
    <row r="164" ht="33.6" customHeight="1" s="34"/>
    <row r="165" ht="33.6" customHeight="1" s="34"/>
    <row r="166" ht="33.6" customHeight="1" s="34"/>
    <row r="167" ht="33.6" customHeight="1" s="34"/>
    <row r="168" ht="33.6" customHeight="1" s="34"/>
    <row r="169" ht="33.6" customHeight="1" s="34"/>
    <row r="170" ht="33.6" customHeight="1" s="34"/>
    <row r="171" ht="33.6" customHeight="1" s="34"/>
    <row r="172" ht="33.6" customHeight="1" s="34"/>
    <row r="173" ht="33.6" customHeight="1" s="34"/>
    <row r="174" ht="33.6" customHeight="1" s="34"/>
    <row r="175" ht="33.6" customHeight="1" s="34"/>
    <row r="176" ht="33.6" customHeight="1" s="34"/>
    <row r="177" ht="33.6" customHeight="1" s="34"/>
    <row r="178" ht="33.6" customHeight="1" s="34"/>
    <row r="179" ht="33.6" customHeight="1" s="34"/>
    <row r="180" ht="33.6" customHeight="1" s="34"/>
    <row r="181" ht="33.6" customHeight="1" s="34"/>
    <row r="182" ht="33.6" customHeight="1" s="34"/>
    <row r="183" ht="33.6" customHeight="1" s="34"/>
    <row r="184" ht="33.6" customHeight="1" s="34"/>
    <row r="185" ht="33.6" customHeight="1" s="34"/>
    <row r="186" ht="33.6" customHeight="1" s="34"/>
    <row r="187" ht="33.6" customHeight="1" s="34"/>
    <row r="188" ht="33.6" customHeight="1" s="34"/>
    <row r="189" ht="33.6" customHeight="1" s="34"/>
    <row r="190" ht="33.6" customHeight="1" s="34"/>
    <row r="191" ht="33.6" customHeight="1" s="34"/>
    <row r="192" ht="33.6" customHeight="1" s="34"/>
    <row r="193" ht="33.6" customHeight="1" s="34"/>
    <row r="194" ht="33.6" customHeight="1" s="34"/>
    <row r="195" ht="33.6" customHeight="1" s="34"/>
    <row r="196" ht="33.6" customHeight="1" s="34"/>
    <row r="197" ht="33.6" customHeight="1" s="34"/>
    <row r="198" ht="33.6" customHeight="1" s="34"/>
    <row r="199" ht="33.6" customHeight="1" s="34"/>
    <row r="200" ht="33.6" customHeight="1" s="34"/>
    <row r="201" ht="33.6" customHeight="1" s="34"/>
    <row r="202" ht="33.6" customHeight="1" s="34"/>
    <row r="203" ht="33.6" customHeight="1" s="34"/>
    <row r="204" ht="33.6" customHeight="1" s="34"/>
    <row r="205" ht="33.6" customHeight="1" s="34"/>
    <row r="206" ht="33.6" customHeight="1" s="34"/>
    <row r="207" ht="33.6" customHeight="1" s="34"/>
    <row r="208" ht="57" customHeight="1" s="34"/>
    <row r="209" ht="33.6" customHeight="1" s="34"/>
    <row r="210" ht="33.6" customHeight="1" s="34"/>
    <row r="211" ht="33.6" customHeight="1" s="34"/>
    <row r="212" ht="33.6" customHeight="1" s="34"/>
    <row r="213" ht="33.6" customHeight="1" s="34"/>
    <row r="214" ht="33.6" customHeight="1" s="34"/>
    <row r="215" ht="33.6" customHeight="1" s="34"/>
    <row r="216" ht="33.6" customHeight="1" s="34"/>
    <row r="217" ht="33.6" customHeight="1" s="34"/>
    <row r="218" ht="33.6" customHeight="1" s="34"/>
    <row r="219" ht="33.6" customHeight="1" s="34"/>
    <row r="220" ht="33.6" customHeight="1" s="34"/>
    <row r="221" ht="33.6" customHeight="1" s="34"/>
    <row r="222" ht="33.6" customHeight="1" s="34"/>
    <row r="223" ht="33.6" customHeight="1" s="34"/>
    <row r="224" ht="33.6" customHeight="1" s="34"/>
    <row r="225" ht="33.6" customHeight="1" s="34"/>
    <row r="226" ht="33.6" customHeight="1" s="34"/>
    <row r="227" ht="33.6" customHeight="1" s="34"/>
    <row r="228" ht="33.6" customHeight="1" s="34"/>
    <row r="229" ht="33.6" customHeight="1" s="34"/>
    <row r="230" ht="33.6" customHeight="1" s="34"/>
    <row r="231" ht="33.6" customHeight="1" s="34"/>
    <row r="232" ht="33.6" customHeight="1" s="34"/>
    <row r="233" ht="33.6" customHeight="1" s="34"/>
    <row r="234" ht="33.6" customHeight="1" s="34"/>
    <row r="235" ht="33.6" customHeight="1" s="34"/>
    <row r="236" ht="33.6" customHeight="1" s="34"/>
    <row r="237" ht="33.6" customHeight="1" s="34"/>
    <row r="238" ht="33.6" customHeight="1" s="34"/>
    <row r="239" ht="33.6" customHeight="1" s="34"/>
    <row r="240" ht="33.6" customHeight="1" s="34"/>
    <row r="241" ht="33.6" customHeight="1" s="34"/>
    <row r="242" ht="33.6" customHeight="1" s="34"/>
    <row r="243" ht="33.6" customHeight="1" s="34"/>
    <row r="244" ht="33.6" customHeight="1" s="34"/>
    <row r="245" ht="33.6" customHeight="1" s="34"/>
    <row r="246" ht="33.6" customHeight="1" s="34"/>
    <row r="247" ht="33.6" customHeight="1" s="34"/>
    <row r="248" ht="33.6" customHeight="1" s="34"/>
    <row r="249" ht="33.6" customHeight="1" s="34"/>
    <row r="250" ht="33.6" customHeight="1" s="34"/>
    <row r="251" ht="33.6" customHeight="1" s="34"/>
    <row r="252" ht="33.6" customHeight="1" s="34"/>
    <row r="253" ht="33.6" customHeight="1" s="34"/>
    <row r="254" ht="33.6" customHeight="1" s="34"/>
    <row r="255" ht="33.6" customHeight="1" s="34"/>
    <row r="256" ht="33.6" customHeight="1" s="34"/>
    <row r="257" ht="33.6" customHeight="1" s="34"/>
    <row r="258" ht="33.6" customHeight="1" s="34"/>
    <row r="259" ht="33.6" customHeight="1" s="34"/>
    <row r="260" ht="33.6" customHeight="1" s="34"/>
    <row r="261" ht="33.6" customHeight="1" s="34"/>
    <row r="262" ht="33.6" customHeight="1" s="34"/>
    <row r="263" ht="33.6" customHeight="1" s="34"/>
    <row r="264" ht="33.6" customHeight="1" s="34"/>
    <row r="265" ht="33.6" customHeight="1" s="34"/>
    <row r="266" ht="33.6" customHeight="1" s="34"/>
    <row r="267" ht="33.6" customHeight="1" s="34"/>
    <row r="268" ht="33.6" customHeight="1" s="34"/>
    <row r="269" ht="33.6" customHeight="1" s="34"/>
    <row r="270" ht="33.6" customHeight="1" s="34"/>
    <row r="271" ht="33.6" customHeight="1" s="34"/>
    <row r="272" ht="33.6" customHeight="1" s="34"/>
    <row r="273" ht="33.6" customHeight="1" s="34"/>
    <row r="274" ht="33.6" customHeight="1" s="34"/>
    <row r="275" ht="33.6" customHeight="1" s="34"/>
    <row r="276" ht="33.6" customHeight="1" s="34"/>
    <row r="277" ht="33.6" customHeight="1" s="34"/>
    <row r="278" ht="33.6" customHeight="1" s="34"/>
    <row r="279" ht="33.6" customHeight="1" s="34"/>
    <row r="280" ht="33.6" customHeight="1" s="34"/>
    <row r="281" ht="33.6" customHeight="1" s="34"/>
    <row r="282" ht="33.6" customHeight="1" s="34"/>
    <row r="283" ht="33.6" customHeight="1" s="34"/>
    <row r="284" ht="33.6" customHeight="1" s="34"/>
    <row r="285" ht="33.6" customHeight="1" s="34"/>
    <row r="286" ht="33.6" customHeight="1" s="34"/>
    <row r="287" ht="33.6" customHeight="1" s="34"/>
    <row r="288" ht="33.6" customHeight="1" s="34"/>
    <row r="289" ht="33.6" customHeight="1" s="34"/>
    <row r="290" ht="33.6" customHeight="1" s="34"/>
    <row r="291" ht="33.6" customHeight="1" s="34"/>
    <row r="292" ht="33.6" customHeight="1" s="34"/>
    <row r="293" ht="33.6" customHeight="1" s="34"/>
    <row r="294" ht="33.6" customHeight="1" s="34"/>
    <row r="295" ht="33.6" customHeight="1" s="34"/>
    <row r="296" ht="33.6" customHeight="1" s="34"/>
    <row r="297" ht="33.6" customHeight="1" s="34"/>
    <row r="298" ht="33.6" customHeight="1" s="34"/>
    <row r="299" ht="33.6" customHeight="1" s="34"/>
    <row r="300" ht="33.6" customHeight="1" s="34"/>
    <row r="301" ht="33.6" customHeight="1" s="34"/>
    <row r="302" ht="33.6" customHeight="1" s="34"/>
    <row r="303" ht="33.6" customHeight="1" s="34"/>
    <row r="304" ht="33.6" customHeight="1" s="34"/>
    <row r="305" ht="33.6" customHeight="1" s="34"/>
    <row r="306" ht="33.6" customHeight="1" s="34"/>
    <row r="307" ht="33.6" customHeight="1" s="34"/>
    <row r="308" ht="33.6" customHeight="1" s="34"/>
    <row r="309" ht="33.6" customHeight="1" s="34"/>
    <row r="310" ht="33.6" customHeight="1" s="34"/>
    <row r="311" ht="33.6" customHeight="1" s="34"/>
    <row r="312" ht="33.6" customHeight="1" s="34"/>
    <row r="313" ht="33.6" customHeight="1" s="34"/>
    <row r="314" ht="33.6" customHeight="1" s="34"/>
    <row r="315" ht="33.6" customHeight="1" s="34"/>
    <row r="316" ht="33.6" customHeight="1" s="34"/>
    <row r="317" ht="33.6" customHeight="1" s="34"/>
    <row r="318" ht="33.6" customHeight="1" s="34"/>
    <row r="319" ht="33.6" customHeight="1" s="34"/>
    <row r="320" ht="33.6" customHeight="1" s="34"/>
    <row r="321" ht="33.6" customHeight="1" s="34"/>
    <row r="322" ht="33.6" customHeight="1" s="34"/>
    <row r="323" ht="33.6" customHeight="1" s="34"/>
    <row r="324" ht="33.6" customHeight="1" s="34"/>
    <row r="325" ht="33.6" customHeight="1" s="34"/>
    <row r="326" ht="33.6" customHeight="1" s="34"/>
    <row r="327" ht="33.6" customHeight="1" s="34"/>
    <row r="328" ht="33.6" customHeight="1" s="34"/>
    <row r="329" ht="33.6" customHeight="1" s="34"/>
    <row r="330" ht="33.6" customHeight="1" s="34"/>
    <row r="331" ht="33.6" customHeight="1" s="34"/>
    <row r="332" ht="33.6" customHeight="1" s="34"/>
    <row r="333" ht="33.6" customHeight="1" s="34"/>
    <row r="334" ht="33.6" customHeight="1" s="34"/>
    <row r="335" ht="33.6" customHeight="1" s="34"/>
    <row r="336" ht="33.6" customHeight="1" s="34"/>
    <row r="337" ht="33.6" customHeight="1" s="34"/>
    <row r="338" ht="33.6" customHeight="1" s="34"/>
    <row r="339" ht="33.6" customHeight="1" s="34"/>
    <row r="340" ht="33.6" customHeight="1" s="34"/>
    <row r="341" ht="33.6" customHeight="1" s="34"/>
    <row r="342" ht="33.6" customHeight="1" s="34"/>
    <row r="343" ht="33.6" customHeight="1" s="34"/>
    <row r="344" ht="33.6" customHeight="1" s="34"/>
    <row r="345" ht="33.6" customHeight="1" s="34"/>
    <row r="346" ht="33.6" customHeight="1" s="34"/>
    <row r="347" ht="33.6" customHeight="1" s="34"/>
    <row r="348" ht="33.6" customHeight="1" s="34"/>
    <row r="349" ht="33.6" customHeight="1" s="34"/>
    <row r="350" ht="33.6" customHeight="1" s="34"/>
    <row r="351" ht="33.6" customHeight="1" s="34"/>
    <row r="352" ht="33.6" customHeight="1" s="34"/>
    <row r="353" ht="33.6" customHeight="1" s="34"/>
    <row r="354" ht="33.6" customHeight="1" s="34"/>
    <row r="355" ht="33.6" customHeight="1" s="34"/>
    <row r="356" ht="33.6" customHeight="1" s="34"/>
    <row r="357" ht="33.6" customHeight="1" s="34"/>
    <row r="358" ht="33.6" customHeight="1" s="34"/>
    <row r="359" ht="33.6" customHeight="1" s="34"/>
    <row r="360" ht="33.6" customHeight="1" s="34"/>
    <row r="361" ht="33.6" customHeight="1" s="34"/>
    <row r="362" ht="33.6" customHeight="1" s="34"/>
    <row r="363" ht="33.6" customHeight="1" s="34"/>
    <row r="364" ht="33.6" customHeight="1" s="34"/>
    <row r="365" ht="33.6" customHeight="1" s="34"/>
    <row r="366" ht="33.6" customHeight="1" s="34"/>
    <row r="367" ht="33.6" customHeight="1" s="34"/>
    <row r="368" ht="33.6" customHeight="1" s="34"/>
    <row r="369" ht="33.6" customHeight="1" s="34"/>
    <row r="370" ht="33.6" customHeight="1" s="34"/>
    <row r="371" ht="33.6" customHeight="1" s="34"/>
    <row r="372" ht="33.6" customHeight="1" s="34"/>
    <row r="373" ht="33.6" customHeight="1" s="34"/>
    <row r="374" ht="33.6" customHeight="1" s="34"/>
    <row r="375" ht="33.6" customHeight="1" s="34"/>
    <row r="376" ht="33.6" customHeight="1" s="34"/>
    <row r="377" ht="33.6" customHeight="1" s="34"/>
    <row r="378" ht="33.6" customHeight="1" s="34"/>
    <row r="379" ht="33.6" customHeight="1" s="34"/>
    <row r="380" ht="33.6" customHeight="1" s="34"/>
    <row r="381" ht="33.6" customHeight="1" s="34"/>
    <row r="382" ht="33.6" customHeight="1" s="34"/>
    <row r="383" ht="33.6" customHeight="1" s="34"/>
    <row r="384" ht="33.6" customHeight="1" s="34"/>
    <row r="385" ht="33.6" customHeight="1" s="34"/>
    <row r="386" ht="33.6" customHeight="1" s="34"/>
    <row r="387" ht="33.6" customHeight="1" s="34"/>
    <row r="388" ht="33.6" customHeight="1" s="34"/>
    <row r="389" ht="33.6" customHeight="1" s="34"/>
    <row r="390" ht="33.6" customHeight="1" s="34"/>
    <row r="391" ht="33.6" customHeight="1" s="34"/>
    <row r="392" ht="33.6" customHeight="1" s="34"/>
    <row r="393" ht="33.6" customHeight="1" s="34"/>
    <row r="394" ht="33.6" customHeight="1" s="34"/>
    <row r="395" ht="33.6" customHeight="1" s="34"/>
    <row r="396" ht="33.6" customHeight="1" s="34"/>
    <row r="397" ht="33.6" customHeight="1" s="34"/>
    <row r="398" ht="33.6" customHeight="1" s="34"/>
    <row r="399" ht="33.6" customHeight="1" s="34"/>
    <row r="400" ht="33.6" customHeight="1" s="34"/>
    <row r="401" ht="33.6" customHeight="1" s="34"/>
    <row r="402" ht="33.6" customHeight="1" s="34"/>
    <row r="403" ht="33.6" customHeight="1" s="34"/>
    <row r="404" ht="33.6" customHeight="1" s="34"/>
    <row r="405" ht="33.6" customHeight="1" s="34"/>
    <row r="406" ht="33.6" customHeight="1" s="34"/>
    <row r="407" ht="33.6" customHeight="1" s="34"/>
    <row r="408" ht="33.6" customHeight="1" s="34"/>
    <row r="409" ht="33.6" customHeight="1" s="34"/>
    <row r="410" ht="33.6" customHeight="1" s="34"/>
    <row r="411" ht="33.6" customHeight="1" s="34"/>
    <row r="412" ht="33.6" customHeight="1" s="34"/>
    <row r="413" ht="33.6" customHeight="1" s="34"/>
    <row r="414" ht="33.6" customHeight="1" s="34"/>
    <row r="415" ht="33.6" customHeight="1" s="34"/>
    <row r="416" ht="33.6" customHeight="1" s="34"/>
    <row r="417" ht="33.6" customHeight="1" s="34"/>
    <row r="418" ht="33.6" customHeight="1" s="34"/>
    <row r="419" ht="33.6" customHeight="1" s="34"/>
    <row r="420" ht="33.6" customHeight="1" s="34"/>
    <row r="421" ht="33.6" customHeight="1" s="34"/>
    <row r="422" ht="33.6" customHeight="1" s="34"/>
    <row r="423" ht="33.6" customHeight="1" s="34"/>
    <row r="424" ht="33.6" customHeight="1" s="34"/>
    <row r="425" ht="33.6" customHeight="1" s="34"/>
    <row r="426" ht="33.6" customHeight="1" s="34"/>
    <row r="427" ht="33.6" customHeight="1" s="34"/>
    <row r="428" ht="33.6" customHeight="1" s="34"/>
    <row r="429" ht="33.6" customHeight="1" s="34"/>
    <row r="430" ht="33.6" customHeight="1" s="34"/>
    <row r="431" ht="33.6" customHeight="1" s="34"/>
    <row r="432" ht="33.6" customHeight="1" s="34"/>
    <row r="433" ht="33.6" customHeight="1" s="34"/>
    <row r="434" ht="33.6" customHeight="1" s="34"/>
    <row r="435" ht="33.6" customHeight="1" s="34"/>
    <row r="436" ht="33.6" customHeight="1" s="34"/>
    <row r="437" ht="33.6" customHeight="1" s="34"/>
    <row r="438" ht="33.6" customHeight="1" s="34"/>
    <row r="439" ht="33.6" customHeight="1" s="34"/>
    <row r="440" ht="33.6" customHeight="1" s="34"/>
    <row r="441" ht="33.6" customHeight="1" s="34"/>
    <row r="442" ht="33.6" customHeight="1" s="34"/>
    <row r="443" ht="33.6" customHeight="1" s="34"/>
    <row r="444" ht="33.6" customHeight="1" s="34"/>
    <row r="445" ht="33.6" customHeight="1" s="34"/>
    <row r="446" ht="33.6" customHeight="1" s="34"/>
    <row r="447" ht="33.6" customHeight="1" s="34"/>
    <row r="448" ht="33.6" customHeight="1" s="34"/>
    <row r="449" ht="33.6" customHeight="1" s="34"/>
    <row r="450" ht="33.6" customHeight="1" s="34"/>
    <row r="451" ht="33.6" customHeight="1" s="34"/>
    <row r="452" ht="33.6" customHeight="1" s="34"/>
    <row r="453" ht="33.6" customHeight="1" s="34"/>
    <row r="454" ht="33.6" customHeight="1" s="34"/>
    <row r="455" ht="33.6" customHeight="1" s="34"/>
    <row r="456" ht="33.6" customHeight="1" s="34"/>
    <row r="457" ht="33.6" customHeight="1" s="34"/>
    <row r="458" ht="33.6" customHeight="1" s="34"/>
    <row r="459" ht="33.6" customHeight="1" s="34"/>
    <row r="460" ht="33.6" customHeight="1" s="34"/>
    <row r="461" ht="33.6" customHeight="1" s="34"/>
    <row r="462" ht="33.6" customHeight="1" s="34"/>
    <row r="463" ht="33.6" customHeight="1" s="34"/>
    <row r="464" ht="33.6" customHeight="1" s="34"/>
    <row r="465" ht="33.6" customHeight="1" s="34"/>
    <row r="466" ht="33.6" customHeight="1" s="34"/>
    <row r="467" ht="33.6" customHeight="1" s="34"/>
    <row r="468" ht="33.6" customHeight="1" s="34"/>
    <row r="469" ht="33.6" customHeight="1" s="34"/>
    <row r="470" ht="33.6" customHeight="1" s="34"/>
    <row r="471" ht="33.6" customHeight="1" s="34"/>
    <row r="472" ht="33.6" customHeight="1" s="34"/>
    <row r="473" ht="33.6" customHeight="1" s="34"/>
    <row r="474" ht="33.6" customHeight="1" s="34"/>
    <row r="475" ht="33.6" customHeight="1" s="34"/>
    <row r="476" ht="33.6" customHeight="1" s="34"/>
    <row r="477" ht="33.6" customHeight="1" s="34"/>
    <row r="478" ht="33.6" customHeight="1" s="34"/>
    <row r="479" ht="33.6" customHeight="1" s="34"/>
    <row r="480" ht="33.6" customHeight="1" s="34"/>
    <row r="481" ht="33.6" customHeight="1" s="34"/>
    <row r="482" ht="33.6" customHeight="1" s="34"/>
    <row r="483" ht="33.6" customHeight="1" s="34"/>
    <row r="484" ht="33.6" customHeight="1" s="34"/>
    <row r="485" ht="33.6" customHeight="1" s="34"/>
    <row r="486" ht="33.6" customHeight="1" s="34"/>
    <row r="487" ht="33.6" customHeight="1" s="34"/>
    <row r="488" ht="33.6" customHeight="1" s="34"/>
    <row r="489" ht="33.6" customHeight="1" s="34"/>
    <row r="490" ht="33.6" customHeight="1" s="34"/>
    <row r="491" ht="33.6" customHeight="1" s="34"/>
    <row r="492" ht="33.6" customHeight="1" s="34"/>
    <row r="493" ht="33.6" customHeight="1" s="34"/>
    <row r="494" ht="33.6" customHeight="1" s="34"/>
    <row r="495" ht="33.6" customHeight="1" s="34"/>
    <row r="496" ht="33.6" customHeight="1" s="34"/>
    <row r="497" ht="33.6" customHeight="1" s="34"/>
    <row r="498" ht="33.6" customHeight="1" s="34"/>
    <row r="499" ht="33.6" customHeight="1" s="34"/>
    <row r="500" ht="33.6" customHeight="1" s="34"/>
    <row r="501" ht="33.6" customHeight="1" s="34"/>
    <row r="502" ht="33.6" customHeight="1" s="34"/>
    <row r="503" ht="33.6" customHeight="1" s="34"/>
    <row r="504" ht="33.6" customHeight="1" s="34"/>
    <row r="505" ht="33.6" customHeight="1" s="34"/>
    <row r="506" ht="33.6" customHeight="1" s="34"/>
    <row r="507" ht="33.6" customHeight="1" s="34"/>
    <row r="508" ht="33.6" customHeight="1" s="34"/>
    <row r="509" ht="33.6" customHeight="1" s="34"/>
    <row r="510" ht="33.6" customHeight="1" s="34"/>
    <row r="511" ht="33.6" customHeight="1" s="34"/>
    <row r="512" ht="33.6" customHeight="1" s="34"/>
    <row r="513" ht="33.6" customHeight="1" s="34"/>
    <row r="514" ht="33.6" customHeight="1" s="34"/>
    <row r="515" ht="33.6" customHeight="1" s="34"/>
    <row r="516" ht="33.6" customHeight="1" s="34"/>
    <row r="517" ht="33.6" customHeight="1" s="34"/>
    <row r="518" ht="33.6" customHeight="1" s="34"/>
    <row r="519" ht="33.6" customHeight="1" s="34"/>
    <row r="520" ht="33.6" customHeight="1" s="34"/>
    <row r="521" ht="33.6" customHeight="1" s="34"/>
    <row r="522" ht="33.6" customHeight="1" s="34"/>
    <row r="523" ht="33.6" customHeight="1" s="34"/>
    <row r="524" ht="33.6" customHeight="1" s="34"/>
    <row r="525" ht="33.6" customHeight="1" s="34"/>
    <row r="526" ht="33.6" customHeight="1" s="34"/>
    <row r="527" ht="33.6" customHeight="1" s="34"/>
    <row r="528" ht="33.6" customHeight="1" s="34"/>
    <row r="529" ht="33.6" customHeight="1" s="34"/>
    <row r="530" ht="33.6" customHeight="1" s="34"/>
    <row r="531" ht="33.6" customHeight="1" s="34"/>
    <row r="532" ht="33.6" customHeight="1" s="34"/>
    <row r="533" ht="33.6" customHeight="1" s="34"/>
    <row r="534" ht="33.6" customHeight="1" s="34"/>
    <row r="535" ht="33.6" customHeight="1" s="34"/>
    <row r="536" ht="33.6" customHeight="1" s="34"/>
    <row r="537" ht="33.6" customHeight="1" s="34"/>
    <row r="538" ht="33.6" customHeight="1" s="34"/>
    <row r="539" ht="33.6" customHeight="1" s="34"/>
    <row r="540" ht="33.6" customHeight="1" s="34"/>
    <row r="541" ht="33.6" customHeight="1" s="34"/>
    <row r="542" ht="33.6" customHeight="1" s="34"/>
    <row r="543" ht="33.6" customHeight="1" s="34"/>
    <row r="544" ht="33.6" customHeight="1" s="34"/>
    <row r="545" ht="33.6" customHeight="1" s="34"/>
    <row r="546" ht="33.6" customHeight="1" s="34"/>
    <row r="547" ht="33.6" customHeight="1" s="34"/>
    <row r="548" ht="33.6" customHeight="1" s="34"/>
    <row r="549" ht="33.6" customHeight="1" s="34"/>
    <row r="550" ht="33.6" customHeight="1" s="34"/>
    <row r="551" ht="33.6" customHeight="1" s="34"/>
    <row r="552" ht="33.6" customHeight="1" s="34"/>
    <row r="553" ht="33.6" customHeight="1" s="34"/>
    <row r="554" ht="33.6" customHeight="1" s="34"/>
    <row r="555" ht="33.6" customHeight="1" s="34"/>
    <row r="556" ht="33.6" customHeight="1" s="34"/>
    <row r="557" ht="33.6" customHeight="1" s="34"/>
    <row r="558" ht="33.6" customHeight="1" s="34"/>
    <row r="559" ht="33.6" customHeight="1" s="34"/>
    <row r="560" ht="33.6" customHeight="1" s="34"/>
    <row r="561" ht="33.6" customHeight="1" s="34"/>
    <row r="562" ht="33.6" customHeight="1" s="34"/>
    <row r="563" ht="33.6" customHeight="1" s="34"/>
    <row r="564" ht="33.6" customHeight="1" s="34"/>
    <row r="565" ht="33.6" customHeight="1" s="34"/>
    <row r="566" ht="33.6" customHeight="1" s="34"/>
    <row r="567" ht="33.6" customHeight="1" s="34"/>
    <row r="568" ht="33.6" customHeight="1" s="34"/>
    <row r="569" ht="33.6" customHeight="1" s="34"/>
    <row r="570" ht="33.6" customHeight="1" s="34"/>
    <row r="571" ht="33.6" customHeight="1" s="34"/>
    <row r="572" ht="33.6" customHeight="1" s="34"/>
    <row r="573" ht="33.6" customHeight="1" s="34"/>
    <row r="574" ht="33.6" customHeight="1" s="34"/>
    <row r="575" ht="33.6" customHeight="1" s="34"/>
    <row r="576" ht="33.6" customHeight="1" s="34"/>
    <row r="577" ht="33.6" customHeight="1" s="34"/>
    <row r="578" ht="33.6" customHeight="1" s="34"/>
    <row r="579" ht="33.6" customHeight="1" s="34"/>
    <row r="580" ht="33.6" customHeight="1" s="34"/>
    <row r="581" ht="33.6" customHeight="1" s="34"/>
    <row r="582" ht="33.6" customHeight="1" s="34"/>
    <row r="583" ht="33.6" customHeight="1" s="34"/>
    <row r="584" ht="33.6" customHeight="1" s="34"/>
    <row r="585" ht="33.6" customHeight="1" s="34"/>
    <row r="586" ht="33.6" customHeight="1" s="34"/>
    <row r="587" ht="33.6" customHeight="1" s="34"/>
    <row r="588" ht="33.6" customHeight="1" s="34"/>
    <row r="589" ht="33.6" customHeight="1" s="34"/>
    <row r="590" ht="16.8" customHeight="1" s="34"/>
    <row r="591" ht="51" customHeight="1" s="34"/>
  </sheetData>
  <autoFilter ref="A3:L15"/>
  <mergeCells count="2">
    <mergeCell ref="A2:L2"/>
    <mergeCell ref="A1:L1"/>
  </mergeCells>
  <hyperlinks>
    <hyperlink xmlns:r="http://schemas.openxmlformats.org/officeDocument/2006/relationships" ref="L4" r:id="rId1"/>
    <hyperlink xmlns:r="http://schemas.openxmlformats.org/officeDocument/2006/relationships" ref="L5" r:id="rId2"/>
    <hyperlink xmlns:r="http://schemas.openxmlformats.org/officeDocument/2006/relationships" ref="L6" r:id="rId3"/>
    <hyperlink xmlns:r="http://schemas.openxmlformats.org/officeDocument/2006/relationships" ref="L7" r:id="rId4"/>
    <hyperlink xmlns:r="http://schemas.openxmlformats.org/officeDocument/2006/relationships" ref="L8" r:id="rId5"/>
    <hyperlink xmlns:r="http://schemas.openxmlformats.org/officeDocument/2006/relationships" ref="L9" r:id="rId6"/>
    <hyperlink xmlns:r="http://schemas.openxmlformats.org/officeDocument/2006/relationships" ref="L10" r:id="rId7"/>
    <hyperlink xmlns:r="http://schemas.openxmlformats.org/officeDocument/2006/relationships" ref="L11" r:id="rId8"/>
    <hyperlink xmlns:r="http://schemas.openxmlformats.org/officeDocument/2006/relationships" ref="L12" r:id="rId9"/>
    <hyperlink xmlns:r="http://schemas.openxmlformats.org/officeDocument/2006/relationships" ref="L13" r:id="rId10"/>
    <hyperlink xmlns:r="http://schemas.openxmlformats.org/officeDocument/2006/relationships" ref="L14" r:id="rId11"/>
    <hyperlink xmlns:r="http://schemas.openxmlformats.org/officeDocument/2006/relationships" ref="L15" r:id="rId1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zoomScale="81" zoomScaleNormal="81" workbookViewId="0">
      <selection activeCell="C597" sqref="C597"/>
    </sheetView>
  </sheetViews>
  <sheetFormatPr baseColWidth="10" defaultColWidth="8.88671875" defaultRowHeight="14.4"/>
  <cols>
    <col width="12" customWidth="1" style="34" min="1" max="1"/>
    <col width="16" customWidth="1" style="34" min="2" max="2"/>
    <col width="55" customWidth="1" style="34" min="3" max="3"/>
    <col width="24" customWidth="1" style="34" min="4" max="4"/>
    <col width="55" customWidth="1" style="34" min="5" max="5"/>
    <col width="55" customWidth="1" style="34" min="6" max="6"/>
    <col width="12" customWidth="1" style="34" min="7" max="7"/>
    <col width="25" customWidth="1" style="34" min="8" max="8"/>
    <col width="12" customWidth="1" style="34" min="9" max="9"/>
    <col width="16.33203125" customWidth="1" style="34" min="10" max="10"/>
  </cols>
  <sheetData>
    <row r="1" ht="17.55" customHeight="1" s="34">
      <c r="A1" s="49" t="inlineStr">
        <is>
          <t>Duplicados_y_exclusion</t>
        </is>
      </c>
    </row>
    <row r="2" ht="28.8" customHeight="1" s="34">
      <c r="A2" s="33" t="inlineStr">
        <is>
          <t>Primer filtro: marca y descarta duplicados (mismo DOI/título) y exclusiones (revisiones/surveys). Conserva un único registro por estudio. Cada descarte lleva su motivo.</t>
        </is>
      </c>
    </row>
    <row r="3">
      <c r="A3" s="50" t="inlineStr">
        <is>
          <t>ID original</t>
        </is>
      </c>
      <c r="B3" s="50" t="inlineStr">
        <is>
          <t>Base de datos</t>
        </is>
      </c>
      <c r="C3" s="50" t="inlineStr">
        <is>
          <t>Título completo</t>
        </is>
      </c>
      <c r="D3" s="50" t="inlineStr">
        <is>
          <t>DOI</t>
        </is>
      </c>
      <c r="E3" s="50" t="inlineStr">
        <is>
          <t>Tipo de exclusión</t>
        </is>
      </c>
      <c r="F3" s="50" t="inlineStr">
        <is>
          <t>Motivo de exclusión</t>
        </is>
      </c>
      <c r="G3" s="50" t="inlineStr">
        <is>
          <t>Duplicado</t>
        </is>
      </c>
      <c r="H3" s="50" t="inlineStr">
        <is>
          <t>Tipo de estudio detectado</t>
        </is>
      </c>
      <c r="I3" s="50" t="inlineStr">
        <is>
          <t>Decisión</t>
        </is>
      </c>
      <c r="J3" s="9" t="n"/>
    </row>
    <row r="4" ht="33.6" customHeight="1" s="34">
      <c r="A4" s="51" t="inlineStr">
        <is>
          <t>H0001</t>
        </is>
      </c>
      <c r="B4" s="51" t="inlineStr">
        <is>
          <t>IEEE Xplore</t>
        </is>
      </c>
      <c r="C4" s="51" t="inlineStr">
        <is>
          <t>Unified Approach for Avocado Leaf Disease Classification: CNN-SVM Fusion</t>
        </is>
      </c>
      <c r="D4" s="51" t="inlineStr">
        <is>
          <t>10.1109/I2CT61223.2024.10544074</t>
        </is>
      </c>
      <c r="E4" s="51" t="inlineStr"/>
      <c r="F4" s="51" t="inlineStr"/>
      <c r="G4" s="51" t="inlineStr">
        <is>
          <t>No</t>
        </is>
      </c>
      <c r="H4" s="51" t="inlineStr">
        <is>
          <t>Conference paper</t>
        </is>
      </c>
      <c r="I4" s="51" t="inlineStr">
        <is>
          <t>Conservar</t>
        </is>
      </c>
      <c r="J4" s="53" t="n"/>
    </row>
    <row r="5" ht="33.6" customHeight="1" s="34">
      <c r="A5" s="51" t="inlineStr">
        <is>
          <t>H0002</t>
        </is>
      </c>
      <c r="B5" s="51" t="inlineStr">
        <is>
          <t>IEEE Xplore</t>
        </is>
      </c>
      <c r="C5" s="51" t="inlineStr">
        <is>
          <t>Plant Leaf Disease Detection, Classification, and Diagnosis Using Computer Vision and Artificial Intelligence: A Review</t>
        </is>
      </c>
      <c r="D5" s="51" t="inlineStr">
        <is>
          <t>10.1109/ACCESS.2024.3373001</t>
        </is>
      </c>
      <c r="E5" s="51" t="inlineStr">
        <is>
          <t>Revisión</t>
        </is>
      </c>
      <c r="F5" s="51" t="inlineStr">
        <is>
          <t>Se conserva como apoyo del estado del arte, no como estudio primario principal.</t>
        </is>
      </c>
      <c r="G5" s="51" t="inlineStr">
        <is>
          <t>No</t>
        </is>
      </c>
      <c r="H5" s="51" t="inlineStr">
        <is>
          <t>Review</t>
        </is>
      </c>
      <c r="I5" s="51" t="inlineStr">
        <is>
          <t>Reserva</t>
        </is>
      </c>
      <c r="J5" s="53" t="n"/>
    </row>
    <row r="6" ht="33.6" customHeight="1" s="34">
      <c r="A6" s="51" t="inlineStr">
        <is>
          <t>H0003</t>
        </is>
      </c>
      <c r="B6" s="51" t="inlineStr">
        <is>
          <t>IEEE Xplore</t>
        </is>
      </c>
      <c r="C6" s="51" t="inlineStr">
        <is>
          <t>Real-Time Detection and Identification of Plant Leaf Diseases using YOLOv4-tiny</t>
        </is>
      </c>
      <c r="D6" s="51" t="inlineStr">
        <is>
          <t>10.1109/ICCCNT51525.2021.9579783</t>
        </is>
      </c>
      <c r="E6" s="51" t="inlineStr"/>
      <c r="F6" s="51" t="inlineStr"/>
      <c r="G6" s="51" t="inlineStr">
        <is>
          <t>No</t>
        </is>
      </c>
      <c r="H6" s="51" t="inlineStr">
        <is>
          <t>Conference paper</t>
        </is>
      </c>
      <c r="I6" s="51" t="inlineStr">
        <is>
          <t>Conservar</t>
        </is>
      </c>
      <c r="J6" s="53" t="n"/>
    </row>
    <row r="7" ht="33.6" customHeight="1" s="34">
      <c r="A7" s="51" t="inlineStr">
        <is>
          <t>H0004</t>
        </is>
      </c>
      <c r="B7" s="51" t="inlineStr">
        <is>
          <t>Scientific Reports</t>
        </is>
      </c>
      <c r="C7" s="51" t="inlineStr">
        <is>
          <t>Spectrally optimised YOLOv10s-SeqOpt framework for real-time UAV-based early detection of avocado foliar diseases in Indian orchards</t>
        </is>
      </c>
      <c r="D7" s="51" t="inlineStr">
        <is>
          <t>10.1038/s41598-026-50025-z</t>
        </is>
      </c>
      <c r="E7" s="51" t="inlineStr"/>
      <c r="F7" s="51" t="inlineStr"/>
      <c r="G7" s="51" t="inlineStr">
        <is>
          <t>No</t>
        </is>
      </c>
      <c r="H7" s="51" t="inlineStr">
        <is>
          <t>Article</t>
        </is>
      </c>
      <c r="I7" s="51" t="inlineStr">
        <is>
          <t>Conservar</t>
        </is>
      </c>
      <c r="J7" s="53" t="n"/>
    </row>
    <row r="8" ht="33.6" customHeight="1" s="34">
      <c r="A8" s="51" t="inlineStr">
        <is>
          <t>H0005</t>
        </is>
      </c>
      <c r="B8" s="51" t="inlineStr">
        <is>
          <t>AgriEngineering</t>
        </is>
      </c>
      <c r="C8" s="51" t="inlineStr">
        <is>
          <t>Spatial Mapping of Avocado Anthracnose Severity Using UAV-Derived Vegetation Indices in Amazonas, Peru</t>
        </is>
      </c>
      <c r="D8" s="51" t="inlineStr"/>
      <c r="E8" s="51" t="inlineStr"/>
      <c r="F8" s="51" t="inlineStr"/>
      <c r="G8" s="51" t="inlineStr">
        <is>
          <t>No</t>
        </is>
      </c>
      <c r="H8" s="51" t="inlineStr">
        <is>
          <t>Article</t>
        </is>
      </c>
      <c r="I8" s="51" t="inlineStr">
        <is>
          <t>Conservar</t>
        </is>
      </c>
      <c r="J8" s="53" t="n"/>
    </row>
    <row r="9" ht="33.6" customHeight="1" s="34">
      <c r="A9" s="51" t="inlineStr">
        <is>
          <t>H0006</t>
        </is>
      </c>
      <c r="B9" s="51" t="inlineStr">
        <is>
          <t>International Journal of Plant Biology</t>
        </is>
      </c>
      <c r="C9" s="51" t="inlineStr">
        <is>
          <t>Colletotrichum fructicola Causes Necrotic Leaf Lesions in Avocado (Persea americana) in Amazonas, Peru: First Record and In Vitro Control Using Piper Essential Oils</t>
        </is>
      </c>
      <c r="D9" s="51" t="inlineStr"/>
      <c r="E9" s="51" t="inlineStr"/>
      <c r="F9" s="51" t="inlineStr"/>
      <c r="G9" s="51" t="inlineStr">
        <is>
          <t>No</t>
        </is>
      </c>
      <c r="H9" s="51" t="inlineStr">
        <is>
          <t>Article</t>
        </is>
      </c>
      <c r="I9" s="51" t="inlineStr">
        <is>
          <t>Conservar</t>
        </is>
      </c>
      <c r="J9" s="53" t="n"/>
    </row>
    <row r="10" ht="33.6" customHeight="1" s="34">
      <c r="A10" s="51" t="inlineStr">
        <is>
          <t>H0007</t>
        </is>
      </c>
      <c r="B10" s="51" t="inlineStr">
        <is>
          <t>Revista Colombiana de Ciencias Hortícolas</t>
        </is>
      </c>
      <c r="C10" s="51" t="inlineStr">
        <is>
          <t>Validation of black spot management strategies in avocado crops in northern Tolima (Colombia)</t>
        </is>
      </c>
      <c r="D10" s="51" t="inlineStr">
        <is>
          <t>10.17584/rcch.2020v14i2.10169</t>
        </is>
      </c>
      <c r="E10" s="51" t="inlineStr"/>
      <c r="F10" s="51" t="inlineStr"/>
      <c r="G10" s="51" t="inlineStr">
        <is>
          <t>No</t>
        </is>
      </c>
      <c r="H10" s="51" t="inlineStr">
        <is>
          <t>Article</t>
        </is>
      </c>
      <c r="I10" s="51" t="inlineStr">
        <is>
          <t>Conservar</t>
        </is>
      </c>
      <c r="J10" s="53" t="n"/>
    </row>
    <row r="11" ht="33.6" customHeight="1" s="34">
      <c r="A11" s="51" t="inlineStr">
        <is>
          <t>H0008</t>
        </is>
      </c>
      <c r="B11" s="51" t="inlineStr">
        <is>
          <t>Journal of Sol-Gel Science and Technology</t>
        </is>
      </c>
      <c r="C11" s="51" t="inlineStr">
        <is>
          <t>Silica-based nanomaterials for the control of Trioza anceps: Laboratory bioassays and preliminary field observations</t>
        </is>
      </c>
      <c r="D11" s="51" t="inlineStr">
        <is>
          <t>10.1007/s10971-026-07179-z</t>
        </is>
      </c>
      <c r="E11" s="51" t="inlineStr"/>
      <c r="F11" s="51" t="inlineStr"/>
      <c r="G11" s="51" t="inlineStr">
        <is>
          <t>No</t>
        </is>
      </c>
      <c r="H11" s="51" t="inlineStr">
        <is>
          <t>Article</t>
        </is>
      </c>
      <c r="I11" s="51" t="inlineStr">
        <is>
          <t>Conservar</t>
        </is>
      </c>
      <c r="J11" s="53" t="n"/>
    </row>
    <row r="12" ht="33.6" customHeight="1" s="34">
      <c r="A12" s="51" t="inlineStr">
        <is>
          <t>H0009</t>
        </is>
      </c>
      <c r="B12" s="51" t="inlineStr">
        <is>
          <t>Journal of Economic Entomology</t>
        </is>
      </c>
      <c r="C12" s="51" t="inlineStr">
        <is>
          <t>Biocontrol Potential of Neoseiulus californicus Against Oligonychus punicae in Avocado</t>
        </is>
      </c>
      <c r="D12" s="51" t="inlineStr">
        <is>
          <t>10.1093/jee/toab029</t>
        </is>
      </c>
      <c r="E12" s="51" t="inlineStr"/>
      <c r="F12" s="51" t="inlineStr"/>
      <c r="G12" s="51" t="inlineStr">
        <is>
          <t>No</t>
        </is>
      </c>
      <c r="H12" s="51" t="inlineStr">
        <is>
          <t>Article</t>
        </is>
      </c>
      <c r="I12" s="51" t="inlineStr">
        <is>
          <t>Conservar</t>
        </is>
      </c>
      <c r="J12" s="53" t="n"/>
    </row>
    <row r="13" ht="33.6" customHeight="1" s="34">
      <c r="A13" s="51" t="inlineStr">
        <is>
          <t>H0010</t>
        </is>
      </c>
      <c r="B13" s="51" t="inlineStr">
        <is>
          <t>Plant Health Progress</t>
        </is>
      </c>
      <c r="C13" s="51" t="inlineStr">
        <is>
          <t>Avocado Scab Caused by Elsinoe perseae: A Diagnostic Guide</t>
        </is>
      </c>
      <c r="D13" s="51" t="inlineStr">
        <is>
          <t>10.1094/PHP-10-23-0084-DG</t>
        </is>
      </c>
      <c r="E13" s="51" t="inlineStr"/>
      <c r="F13" s="51" t="inlineStr"/>
      <c r="G13" s="51" t="inlineStr">
        <is>
          <t>No</t>
        </is>
      </c>
      <c r="H13" s="51" t="inlineStr">
        <is>
          <t>Diagnostic guide</t>
        </is>
      </c>
      <c r="I13" s="51" t="inlineStr">
        <is>
          <t>Conservar</t>
        </is>
      </c>
      <c r="J13" s="53" t="n"/>
    </row>
    <row r="14" ht="33.6" customHeight="1" s="34">
      <c r="A14" s="51" t="inlineStr">
        <is>
          <t>H0011</t>
        </is>
      </c>
      <c r="B14" s="51" t="inlineStr">
        <is>
          <t>Journal</t>
        </is>
      </c>
      <c r="C14" s="51" t="inlineStr">
        <is>
          <t>Real-time hass avocado ripeness detection using close-range UAV imagery and YOLO-based deep learning</t>
        </is>
      </c>
      <c r="D14" s="51" t="inlineStr"/>
      <c r="E14" s="51" t="inlineStr"/>
      <c r="F14" s="51" t="inlineStr"/>
      <c r="G14" s="51" t="inlineStr">
        <is>
          <t>No</t>
        </is>
      </c>
      <c r="H14" s="51" t="inlineStr">
        <is>
          <t>Article</t>
        </is>
      </c>
      <c r="I14" s="51" t="inlineStr">
        <is>
          <t>Conservar</t>
        </is>
      </c>
      <c r="J14" s="53" t="n"/>
    </row>
    <row r="15" ht="33.6" customHeight="1" s="34">
      <c r="A15" s="51" t="inlineStr">
        <is>
          <t>H0012</t>
        </is>
      </c>
      <c r="B15" s="51" t="inlineStr">
        <is>
          <t>Scientific Reports</t>
        </is>
      </c>
      <c r="C15" s="51" t="inlineStr">
        <is>
          <t>Simultaneously prediction of multiple wheat leaf phenotypes using hyperspectral imaging with multi-task machine and deep learning</t>
        </is>
      </c>
      <c r="D15" s="51" t="inlineStr"/>
      <c r="E15" s="51" t="inlineStr"/>
      <c r="F15" s="51" t="inlineStr"/>
      <c r="G15" s="51" t="inlineStr">
        <is>
          <t>No</t>
        </is>
      </c>
      <c r="H15" s="51" t="inlineStr">
        <is>
          <t>Article</t>
        </is>
      </c>
      <c r="I15" s="51" t="inlineStr">
        <is>
          <t>Conservar</t>
        </is>
      </c>
      <c r="J15" s="53" t="n"/>
    </row>
    <row r="16" ht="33.6" customHeight="1" s="34"/>
    <row r="17" ht="33.6" customHeight="1" s="34"/>
    <row r="18" ht="33.6" customHeight="1" s="34"/>
    <row r="19" ht="33.6" customHeight="1" s="34"/>
    <row r="20" ht="33.6" customHeight="1" s="34"/>
    <row r="21" ht="33.6" customHeight="1" s="34"/>
    <row r="22" ht="33.6" customHeight="1" s="34"/>
    <row r="23" ht="33.6" customHeight="1" s="34"/>
    <row r="24" ht="33.6" customHeight="1" s="34"/>
    <row r="25" ht="33.6" customHeight="1" s="34"/>
    <row r="26" ht="33.6" customHeight="1" s="34"/>
    <row r="27" ht="33.6" customHeight="1" s="34"/>
    <row r="28" ht="33.6" customHeight="1" s="34"/>
    <row r="29" ht="33.6" customHeight="1" s="34"/>
    <row r="30" ht="33.6" customHeight="1" s="34"/>
    <row r="31" ht="33.6" customHeight="1" s="34"/>
    <row r="32" ht="33.6" customHeight="1" s="34"/>
    <row r="33" ht="33.6" customHeight="1" s="34"/>
    <row r="34" ht="33.6" customHeight="1" s="34"/>
    <row r="35" ht="33.6" customHeight="1" s="34"/>
    <row r="36" ht="33.6" customHeight="1" s="34"/>
    <row r="37" ht="33.6" customHeight="1" s="34"/>
    <row r="38" ht="33.6" customHeight="1" s="34"/>
    <row r="39" ht="33.6" customHeight="1" s="34"/>
    <row r="40" ht="33.6" customHeight="1" s="34"/>
    <row r="41" ht="33.6" customHeight="1" s="34"/>
    <row r="42" ht="33.6" customHeight="1" s="34"/>
    <row r="43" ht="33.6" customHeight="1" s="34"/>
    <row r="44" ht="33.6" customHeight="1" s="34"/>
    <row r="45" ht="33.6" customHeight="1" s="34"/>
    <row r="46" ht="33.6" customHeight="1" s="34"/>
    <row r="47" ht="33.6" customHeight="1" s="34"/>
    <row r="48" ht="33.6" customHeight="1" s="34"/>
    <row r="49" ht="33.6" customHeight="1" s="34"/>
    <row r="50" ht="33.6" customHeight="1" s="34"/>
    <row r="51" ht="33.6" customHeight="1" s="34"/>
    <row r="52" ht="33.6" customHeight="1" s="34"/>
    <row r="53" ht="33.6" customHeight="1" s="34"/>
    <row r="54" ht="33.6" customHeight="1" s="34"/>
    <row r="55" ht="33.6" customHeight="1" s="34"/>
    <row r="56" ht="33.6" customHeight="1" s="34"/>
    <row r="57" ht="33.6" customHeight="1" s="34"/>
    <row r="58" ht="33.6" customHeight="1" s="34"/>
    <row r="59" ht="33.6" customHeight="1" s="34"/>
    <row r="60" ht="33.6" customHeight="1" s="34"/>
    <row r="61" ht="33.6" customHeight="1" s="34"/>
    <row r="62" ht="33.6" customHeight="1" s="34"/>
    <row r="63" ht="33.6" customHeight="1" s="34"/>
    <row r="64" ht="33.6" customHeight="1" s="34"/>
    <row r="65" ht="33.6" customHeight="1" s="34"/>
    <row r="66" ht="33.6" customHeight="1" s="34"/>
    <row r="67" ht="33.6" customHeight="1" s="34"/>
    <row r="68" ht="33.6" customHeight="1" s="34"/>
    <row r="69" ht="33.6" customHeight="1" s="34"/>
    <row r="70" ht="33.6" customHeight="1" s="34"/>
    <row r="71" ht="33.6" customHeight="1" s="34"/>
    <row r="72" ht="33.6" customHeight="1" s="34"/>
    <row r="73" ht="33.6" customHeight="1" s="34"/>
    <row r="74" ht="33.6" customHeight="1" s="34"/>
    <row r="75" ht="33.6" customHeight="1" s="34"/>
    <row r="76" ht="33.6" customHeight="1" s="34"/>
    <row r="77" ht="33.6" customHeight="1" s="34"/>
    <row r="78" ht="33.6" customHeight="1" s="34"/>
    <row r="79" ht="33.6" customHeight="1" s="34"/>
    <row r="80" ht="33.6" customHeight="1" s="34"/>
    <row r="81" ht="33.6" customHeight="1" s="34"/>
    <row r="82" ht="33.6" customHeight="1" s="34"/>
    <row r="83" ht="33.6" customHeight="1" s="34"/>
    <row r="84" ht="33.6" customHeight="1" s="34"/>
    <row r="85" ht="33.6" customHeight="1" s="34"/>
    <row r="86" ht="33.6" customHeight="1" s="34"/>
    <row r="87" ht="33.6" customHeight="1" s="34"/>
    <row r="88" ht="33.6" customHeight="1" s="34"/>
    <row r="89" ht="33.6" customHeight="1" s="34"/>
    <row r="90" ht="33.6" customHeight="1" s="34"/>
    <row r="91" ht="33.6" customHeight="1" s="34"/>
    <row r="92" ht="33.6" customHeight="1" s="34"/>
    <row r="93" ht="33.6" customHeight="1" s="34"/>
    <row r="94" ht="33.6" customHeight="1" s="34"/>
    <row r="95" ht="33.6" customHeight="1" s="34"/>
    <row r="96" ht="33.6" customHeight="1" s="34"/>
    <row r="97" ht="33.6" customHeight="1" s="34"/>
    <row r="98" ht="33.6" customHeight="1" s="34"/>
    <row r="99" ht="33.6" customHeight="1" s="34"/>
    <row r="100" ht="33.6" customHeight="1" s="34"/>
    <row r="101" ht="33.6" customHeight="1" s="34"/>
    <row r="102" ht="33.6" customHeight="1" s="34"/>
    <row r="103" ht="33.6" customHeight="1" s="34"/>
    <row r="104" ht="33.6" customHeight="1" s="34"/>
    <row r="105" ht="33.6" customHeight="1" s="34"/>
    <row r="106" ht="33.6" customHeight="1" s="34"/>
    <row r="107" ht="33.6" customHeight="1" s="34"/>
    <row r="108" ht="33.6" customHeight="1" s="34"/>
    <row r="109" ht="33.6" customHeight="1" s="34"/>
    <row r="110" ht="33.6" customHeight="1" s="34"/>
    <row r="111" ht="33.6" customHeight="1" s="34"/>
    <row r="112" ht="33.6" customHeight="1" s="34"/>
    <row r="113" ht="33.6" customHeight="1" s="34"/>
    <row r="114" ht="33.6" customHeight="1" s="34"/>
    <row r="115" ht="33.6" customHeight="1" s="34"/>
    <row r="116" ht="33.6" customHeight="1" s="34"/>
    <row r="117" ht="33.6" customHeight="1" s="34"/>
    <row r="118" ht="33.6" customHeight="1" s="34"/>
    <row r="119" ht="33.6" customHeight="1" s="34"/>
    <row r="120" ht="33.6" customHeight="1" s="34"/>
    <row r="121" ht="33.6" customHeight="1" s="34"/>
    <row r="122" ht="33.6" customHeight="1" s="34"/>
    <row r="123" ht="33.6" customHeight="1" s="34"/>
    <row r="124" ht="33.6" customHeight="1" s="34"/>
    <row r="125" ht="33.6" customHeight="1" s="34"/>
    <row r="126" ht="33.6" customHeight="1" s="34"/>
    <row r="127" ht="33.6" customHeight="1" s="34"/>
    <row r="128" ht="33.6" customHeight="1" s="34"/>
    <row r="129" ht="33.6" customHeight="1" s="34"/>
    <row r="130" ht="33.6" customHeight="1" s="34"/>
    <row r="131" ht="33.6" customHeight="1" s="34"/>
    <row r="132" ht="33.6" customHeight="1" s="34"/>
    <row r="133" ht="33.6" customHeight="1" s="34"/>
    <row r="134" ht="33.6" customHeight="1" s="34"/>
    <row r="135" ht="33.6" customHeight="1" s="34"/>
    <row r="136" ht="33.6" customHeight="1" s="34"/>
    <row r="137" ht="33.6" customHeight="1" s="34"/>
    <row r="138" ht="33.6" customHeight="1" s="34"/>
    <row r="139" ht="33.6" customHeight="1" s="34"/>
    <row r="140" ht="33.6" customHeight="1" s="34"/>
    <row r="141" ht="33.6" customHeight="1" s="34"/>
    <row r="142" ht="33.6" customHeight="1" s="34"/>
    <row r="143" ht="33.6" customHeight="1" s="34"/>
    <row r="144" ht="33.6" customHeight="1" s="34"/>
    <row r="145" ht="33.6" customHeight="1" s="34"/>
    <row r="146" ht="33.6" customHeight="1" s="34"/>
    <row r="147" ht="33.6" customHeight="1" s="34"/>
    <row r="148" ht="33.6" customHeight="1" s="34"/>
    <row r="149" ht="33.6" customHeight="1" s="34"/>
    <row r="150" ht="33.6" customHeight="1" s="34"/>
    <row r="151" ht="33.6" customHeight="1" s="34"/>
    <row r="152" ht="33.6" customHeight="1" s="34"/>
    <row r="153" ht="33.6" customHeight="1" s="34"/>
    <row r="154" ht="33.6" customHeight="1" s="34"/>
    <row r="155" ht="33.6" customHeight="1" s="34"/>
    <row r="156" ht="33.6" customHeight="1" s="34"/>
    <row r="157" ht="33.6" customHeight="1" s="34"/>
    <row r="158" ht="33.6" customHeight="1" s="34"/>
    <row r="159" ht="33.6" customHeight="1" s="34"/>
    <row r="160" ht="33.6" customHeight="1" s="34"/>
    <row r="161" ht="33.6" customHeight="1" s="34"/>
    <row r="162" ht="33.6" customHeight="1" s="34"/>
    <row r="163" ht="33.6" customHeight="1" s="34"/>
    <row r="164" ht="33.6" customHeight="1" s="34"/>
    <row r="165" ht="33.6" customHeight="1" s="34"/>
    <row r="166" ht="33.6" customHeight="1" s="34"/>
    <row r="167" ht="33.6" customHeight="1" s="34"/>
    <row r="168" ht="33.6" customHeight="1" s="34"/>
    <row r="169" ht="33.6" customHeight="1" s="34"/>
    <row r="170" ht="33.6" customHeight="1" s="34"/>
    <row r="171" ht="33.6" customHeight="1" s="34"/>
    <row r="172" ht="33.6" customHeight="1" s="34"/>
    <row r="173" ht="33.6" customHeight="1" s="34"/>
    <row r="174" ht="33.6" customHeight="1" s="34"/>
    <row r="175" ht="33.6" customHeight="1" s="34"/>
    <row r="176" ht="33.6" customHeight="1" s="34"/>
    <row r="177" ht="33.6" customHeight="1" s="34"/>
    <row r="178" ht="33.6" customHeight="1" s="34"/>
    <row r="179" ht="33.6" customHeight="1" s="34"/>
    <row r="180" ht="33.6" customHeight="1" s="34"/>
    <row r="181" ht="33.6" customHeight="1" s="34"/>
    <row r="182" ht="33.6" customHeight="1" s="34"/>
    <row r="183" ht="33.6" customHeight="1" s="34"/>
    <row r="184" ht="33.6" customHeight="1" s="34"/>
    <row r="185" ht="33.6" customHeight="1" s="34"/>
    <row r="186" ht="33.6" customHeight="1" s="34"/>
    <row r="187" ht="33.6" customHeight="1" s="34"/>
    <row r="188" ht="33.6" customHeight="1" s="34"/>
    <row r="189" ht="33.6" customHeight="1" s="34"/>
    <row r="190" ht="33.6" customHeight="1" s="34"/>
    <row r="191" ht="33.6" customHeight="1" s="34"/>
    <row r="192" ht="33.6" customHeight="1" s="34"/>
    <row r="193" ht="33.6" customHeight="1" s="34"/>
    <row r="194" ht="33.6" customHeight="1" s="34"/>
    <row r="195" ht="33.6" customHeight="1" s="34"/>
    <row r="196" ht="33.6" customHeight="1" s="34"/>
    <row r="197" ht="33.6" customHeight="1" s="34"/>
    <row r="198" ht="33.6" customHeight="1" s="34"/>
    <row r="199" ht="33.6" customHeight="1" s="34"/>
    <row r="200" ht="33.6" customHeight="1" s="34"/>
    <row r="201" ht="33.6" customHeight="1" s="34"/>
    <row r="202" ht="33.6" customHeight="1" s="34"/>
    <row r="203" ht="33.6" customHeight="1" s="34"/>
    <row r="204" ht="33.6" customHeight="1" s="34"/>
    <row r="205" ht="33.6" customHeight="1" s="34"/>
    <row r="206" ht="33.6" customHeight="1" s="34"/>
    <row r="207" ht="33.6" customHeight="1" s="34"/>
    <row r="208" ht="33.6" customHeight="1" s="34"/>
    <row r="209" ht="33.6" customHeight="1" s="34"/>
    <row r="210" ht="33.6" customHeight="1" s="34"/>
    <row r="211" ht="33.6" customHeight="1" s="34"/>
    <row r="212" ht="33.6" customHeight="1" s="34"/>
    <row r="213" ht="33.6" customHeight="1" s="34"/>
    <row r="214" ht="33.6" customHeight="1" s="34"/>
    <row r="215" ht="33.6" customHeight="1" s="34"/>
    <row r="216" ht="33.6" customHeight="1" s="34"/>
    <row r="217" ht="33.6" customHeight="1" s="34"/>
    <row r="218" ht="33.6" customHeight="1" s="34"/>
    <row r="219" ht="33.6" customHeight="1" s="34"/>
    <row r="220" ht="33.6" customHeight="1" s="34"/>
    <row r="221" ht="33.6" customHeight="1" s="34"/>
    <row r="222" ht="33.6" customHeight="1" s="34"/>
    <row r="223" ht="33.6" customHeight="1" s="34"/>
    <row r="224" ht="33.6" customHeight="1" s="34"/>
    <row r="225" ht="33.6" customHeight="1" s="34"/>
    <row r="226" ht="33.6" customHeight="1" s="34"/>
    <row r="227" ht="33.6" customHeight="1" s="34"/>
    <row r="228" ht="33.6" customHeight="1" s="34"/>
    <row r="229" ht="33.6" customHeight="1" s="34"/>
    <row r="230" ht="33.6" customHeight="1" s="34"/>
    <row r="231" ht="33.6" customHeight="1" s="34"/>
    <row r="232" ht="33.6" customHeight="1" s="34"/>
    <row r="233" ht="33.6" customHeight="1" s="34"/>
    <row r="234" ht="33.6" customHeight="1" s="34"/>
    <row r="235" ht="33.6" customHeight="1" s="34"/>
    <row r="236" ht="33.6" customHeight="1" s="34"/>
    <row r="237" ht="33.6" customHeight="1" s="34"/>
    <row r="238" ht="33.6" customHeight="1" s="34"/>
    <row r="239" ht="33.6" customHeight="1" s="34"/>
    <row r="240" ht="33.6" customHeight="1" s="34"/>
    <row r="241" ht="33.6" customHeight="1" s="34"/>
    <row r="242" ht="33.6" customHeight="1" s="34"/>
    <row r="243" ht="33.6" customHeight="1" s="34"/>
    <row r="244" ht="33.6" customHeight="1" s="34"/>
    <row r="245" ht="33.6" customHeight="1" s="34"/>
    <row r="246" ht="33.6" customHeight="1" s="34"/>
    <row r="247" ht="33.6" customHeight="1" s="34"/>
    <row r="248" ht="33.6" customHeight="1" s="34"/>
    <row r="249" ht="33.6" customHeight="1" s="34"/>
    <row r="250" ht="33.6" customHeight="1" s="34"/>
    <row r="251" ht="33.6" customHeight="1" s="34"/>
    <row r="252" ht="33.6" customHeight="1" s="34"/>
    <row r="253" ht="33.6" customHeight="1" s="34"/>
    <row r="254" ht="33.6" customHeight="1" s="34"/>
    <row r="255" ht="33.6" customHeight="1" s="34"/>
    <row r="256" ht="33.6" customHeight="1" s="34"/>
    <row r="257" ht="33.6" customHeight="1" s="34"/>
    <row r="258" ht="33.6" customHeight="1" s="34"/>
    <row r="259" ht="33.6" customHeight="1" s="34"/>
    <row r="260" ht="33.6" customHeight="1" s="34"/>
    <row r="261" ht="33.6" customHeight="1" s="34"/>
    <row r="262" ht="33.6" customHeight="1" s="34"/>
    <row r="263" ht="33.6" customHeight="1" s="34"/>
    <row r="264" ht="33.6" customHeight="1" s="34"/>
    <row r="265" ht="33.6" customHeight="1" s="34"/>
    <row r="266" ht="33.6" customHeight="1" s="34"/>
    <row r="267" ht="33.6" customHeight="1" s="34"/>
    <row r="268" ht="33.6" customHeight="1" s="34"/>
    <row r="269" ht="33.6" customHeight="1" s="34"/>
    <row r="270" ht="33.6" customHeight="1" s="34"/>
    <row r="271" ht="33.6" customHeight="1" s="34"/>
    <row r="272" ht="33.6" customHeight="1" s="34"/>
    <row r="273" ht="33.6" customHeight="1" s="34"/>
    <row r="274" ht="33.6" customHeight="1" s="34"/>
    <row r="275" ht="33.6" customHeight="1" s="34"/>
    <row r="276" ht="33.6" customHeight="1" s="34"/>
    <row r="277" ht="33.6" customHeight="1" s="34"/>
    <row r="278" ht="33.6" customHeight="1" s="34"/>
    <row r="279" ht="33.6" customHeight="1" s="34"/>
    <row r="280" ht="33.6" customHeight="1" s="34"/>
    <row r="281" ht="33.6" customHeight="1" s="34"/>
    <row r="282" ht="33.6" customHeight="1" s="34"/>
    <row r="283" ht="33.6" customHeight="1" s="34"/>
    <row r="284" ht="33.6" customHeight="1" s="34"/>
    <row r="285" ht="33.6" customHeight="1" s="34"/>
    <row r="286" ht="33.6" customHeight="1" s="34"/>
    <row r="287" ht="33.6" customHeight="1" s="34"/>
    <row r="288" ht="33.6" customHeight="1" s="34"/>
    <row r="289" ht="33.6" customHeight="1" s="34"/>
    <row r="290" ht="33.6" customHeight="1" s="34"/>
    <row r="291" ht="33.6" customHeight="1" s="34"/>
    <row r="292" ht="33.6" customHeight="1" s="34"/>
    <row r="293" ht="33.6" customHeight="1" s="34"/>
    <row r="294" ht="33.6" customHeight="1" s="34"/>
    <row r="295" ht="33.6" customHeight="1" s="34"/>
    <row r="296" ht="33.6" customHeight="1" s="34"/>
    <row r="297" ht="33.6" customHeight="1" s="34"/>
    <row r="298" ht="33.6" customHeight="1" s="34"/>
    <row r="299" ht="33.6" customHeight="1" s="34"/>
    <row r="300" ht="33.6" customHeight="1" s="34"/>
    <row r="301" ht="33.6" customHeight="1" s="34"/>
    <row r="302" ht="33.6" customHeight="1" s="34"/>
    <row r="303" ht="33.6" customHeight="1" s="34"/>
    <row r="304" ht="33.6" customHeight="1" s="34"/>
    <row r="305" ht="33.6" customHeight="1" s="34"/>
    <row r="306" ht="33.6" customHeight="1" s="34"/>
    <row r="307" ht="33.6" customHeight="1" s="34"/>
    <row r="308" ht="33.6" customHeight="1" s="34"/>
    <row r="309" ht="33.6" customHeight="1" s="34"/>
    <row r="310" ht="33.6" customHeight="1" s="34"/>
    <row r="311" ht="33.6" customHeight="1" s="34"/>
    <row r="312" ht="33.6" customHeight="1" s="34"/>
    <row r="313" ht="33.6" customHeight="1" s="34"/>
    <row r="314" ht="33.6" customHeight="1" s="34"/>
    <row r="315" ht="33.6" customHeight="1" s="34"/>
    <row r="316" ht="33.6" customHeight="1" s="34"/>
    <row r="317" ht="33.6" customHeight="1" s="34"/>
    <row r="318" ht="33.6" customHeight="1" s="34"/>
    <row r="319" ht="33.6" customHeight="1" s="34"/>
    <row r="320" ht="33.6" customHeight="1" s="34"/>
    <row r="321" ht="33.6" customHeight="1" s="34"/>
    <row r="322" ht="33.6" customHeight="1" s="34"/>
    <row r="323" ht="33.6" customHeight="1" s="34"/>
    <row r="324" ht="33.6" customHeight="1" s="34"/>
    <row r="325" ht="33.6" customHeight="1" s="34"/>
    <row r="326" ht="33.6" customHeight="1" s="34"/>
    <row r="327" ht="33.6" customHeight="1" s="34"/>
    <row r="328" ht="33.6" customHeight="1" s="34"/>
    <row r="329" ht="33.6" customHeight="1" s="34"/>
    <row r="330" ht="33.6" customHeight="1" s="34"/>
    <row r="331" ht="33.6" customHeight="1" s="34"/>
    <row r="332" ht="33.6" customHeight="1" s="34"/>
    <row r="333" ht="33.6" customHeight="1" s="34"/>
    <row r="334" ht="33.6" customHeight="1" s="34"/>
    <row r="335" ht="33.6" customHeight="1" s="34"/>
    <row r="336" ht="33.6" customHeight="1" s="34"/>
    <row r="337" ht="33.6" customHeight="1" s="34"/>
    <row r="338" ht="33.6" customHeight="1" s="34"/>
    <row r="339" ht="33.6" customHeight="1" s="34"/>
    <row r="340" ht="33.6" customHeight="1" s="34"/>
    <row r="341" ht="33.6" customHeight="1" s="34"/>
    <row r="342" ht="33.6" customHeight="1" s="34"/>
    <row r="343" ht="33.6" customHeight="1" s="34"/>
    <row r="344" ht="33.6" customHeight="1" s="34"/>
    <row r="345" ht="33.6" customHeight="1" s="34"/>
    <row r="346" ht="33.6" customHeight="1" s="34"/>
    <row r="347" ht="33.6" customHeight="1" s="34"/>
    <row r="348" ht="33.6" customHeight="1" s="34"/>
    <row r="349" ht="33.6" customHeight="1" s="34"/>
    <row r="350" ht="33.6" customHeight="1" s="34"/>
    <row r="351" ht="33.6" customHeight="1" s="34"/>
    <row r="352" ht="33.6" customHeight="1" s="34"/>
    <row r="353" ht="33.6" customHeight="1" s="34"/>
    <row r="354" ht="33.6" customHeight="1" s="34"/>
    <row r="355" ht="33.6" customHeight="1" s="34"/>
    <row r="356" ht="33.6" customHeight="1" s="34"/>
    <row r="357" ht="33.6" customHeight="1" s="34"/>
    <row r="358" ht="33.6" customHeight="1" s="34"/>
    <row r="359" ht="33.6" customHeight="1" s="34"/>
    <row r="360" ht="33.6" customHeight="1" s="34"/>
    <row r="361" ht="33.6" customHeight="1" s="34"/>
    <row r="362" ht="33.6" customHeight="1" s="34"/>
    <row r="363" ht="33.6" customHeight="1" s="34"/>
    <row r="364" ht="33.6" customHeight="1" s="34"/>
    <row r="365" ht="33.6" customHeight="1" s="34"/>
    <row r="366" ht="33.6" customHeight="1" s="34"/>
    <row r="367" ht="33.6" customHeight="1" s="34"/>
    <row r="368" ht="33.6" customHeight="1" s="34"/>
    <row r="369" ht="33.6" customHeight="1" s="34"/>
    <row r="370" ht="33.6" customHeight="1" s="34"/>
    <row r="371" ht="33.6" customHeight="1" s="34"/>
    <row r="372" ht="33.6" customHeight="1" s="34"/>
    <row r="373" ht="33.6" customHeight="1" s="34"/>
    <row r="374" ht="33.6" customHeight="1" s="34"/>
    <row r="375" ht="33.6" customHeight="1" s="34"/>
    <row r="376" ht="33.6" customHeight="1" s="34"/>
    <row r="377" ht="33.6" customHeight="1" s="34"/>
    <row r="378" ht="33.6" customHeight="1" s="34"/>
    <row r="379" ht="33.6" customHeight="1" s="34"/>
    <row r="380" ht="33.6" customHeight="1" s="34"/>
    <row r="381" ht="33.6" customHeight="1" s="34"/>
    <row r="382" ht="33.6" customHeight="1" s="34"/>
    <row r="383" ht="33.6" customHeight="1" s="34"/>
    <row r="384" ht="33.6" customHeight="1" s="34"/>
    <row r="385" ht="33.6" customHeight="1" s="34"/>
    <row r="386" ht="33.6" customHeight="1" s="34"/>
    <row r="387" ht="33.6" customHeight="1" s="34"/>
    <row r="388" ht="33.6" customHeight="1" s="34"/>
    <row r="389" ht="33.6" customHeight="1" s="34"/>
    <row r="390" ht="33.6" customHeight="1" s="34"/>
    <row r="391" ht="33.6" customHeight="1" s="34"/>
    <row r="392" ht="33.6" customHeight="1" s="34"/>
    <row r="393" ht="33.6" customHeight="1" s="34"/>
    <row r="394" ht="33.6" customHeight="1" s="34"/>
    <row r="395" ht="33.6" customHeight="1" s="34"/>
    <row r="396" ht="33.6" customHeight="1" s="34"/>
    <row r="397" ht="33.6" customHeight="1" s="34"/>
    <row r="398" ht="33.6" customHeight="1" s="34"/>
    <row r="399" ht="33.6" customHeight="1" s="34"/>
    <row r="400" ht="33.6" customHeight="1" s="34"/>
    <row r="401" ht="33.6" customHeight="1" s="34"/>
    <row r="402" ht="33.6" customHeight="1" s="34"/>
    <row r="403" ht="33.6" customHeight="1" s="34"/>
    <row r="404" ht="33.6" customHeight="1" s="34"/>
    <row r="405" ht="33.6" customHeight="1" s="34"/>
    <row r="406" ht="33.6" customHeight="1" s="34"/>
    <row r="407" ht="33.6" customHeight="1" s="34"/>
    <row r="408" ht="33.6" customHeight="1" s="34"/>
    <row r="409" ht="33.6" customHeight="1" s="34"/>
    <row r="410" ht="33.6" customHeight="1" s="34"/>
    <row r="411" ht="33.6" customHeight="1" s="34"/>
    <row r="412" ht="33.6" customHeight="1" s="34"/>
    <row r="413" ht="33.6" customHeight="1" s="34"/>
    <row r="414" ht="33.6" customHeight="1" s="34"/>
    <row r="415" ht="33.6" customHeight="1" s="34"/>
    <row r="416" ht="33.6" customHeight="1" s="34"/>
    <row r="417" ht="33.6" customHeight="1" s="34"/>
    <row r="418" ht="33.6" customHeight="1" s="34"/>
    <row r="419" ht="33.6" customHeight="1" s="34"/>
    <row r="420" ht="33.6" customHeight="1" s="34"/>
    <row r="421" ht="33.6" customHeight="1" s="34"/>
    <row r="422" ht="33.6" customHeight="1" s="34"/>
    <row r="423" ht="33.6" customHeight="1" s="34"/>
    <row r="424" ht="33.6" customHeight="1" s="34"/>
    <row r="425" ht="33.6" customHeight="1" s="34"/>
    <row r="426" ht="33.6" customHeight="1" s="34"/>
    <row r="427" ht="33.6" customHeight="1" s="34"/>
    <row r="428" ht="33.6" customHeight="1" s="34"/>
    <row r="429" ht="33.6" customHeight="1" s="34"/>
    <row r="430" ht="33.6" customHeight="1" s="34"/>
    <row r="431" ht="33.6" customHeight="1" s="34"/>
    <row r="432" ht="33.6" customHeight="1" s="34"/>
    <row r="433" ht="33.6" customHeight="1" s="34"/>
    <row r="434" ht="33.6" customHeight="1" s="34"/>
    <row r="435" ht="33.6" customHeight="1" s="34"/>
    <row r="436" ht="33.6" customHeight="1" s="34"/>
    <row r="437" ht="33.6" customHeight="1" s="34"/>
    <row r="438" ht="33.6" customHeight="1" s="34"/>
    <row r="439" ht="33.6" customHeight="1" s="34"/>
    <row r="440" ht="33.6" customHeight="1" s="34"/>
    <row r="441" ht="33.6" customHeight="1" s="34"/>
    <row r="442" ht="33.6" customHeight="1" s="34"/>
    <row r="443" ht="33.6" customHeight="1" s="34"/>
    <row r="444" ht="33.6" customHeight="1" s="34"/>
    <row r="445" ht="33.6" customHeight="1" s="34"/>
    <row r="446" ht="33.6" customHeight="1" s="34"/>
    <row r="447" ht="33.6" customHeight="1" s="34"/>
    <row r="448" ht="33.6" customHeight="1" s="34"/>
    <row r="449" ht="33.6" customHeight="1" s="34"/>
    <row r="450" ht="33.6" customHeight="1" s="34"/>
    <row r="451" ht="33.6" customHeight="1" s="34"/>
    <row r="452" ht="33.6" customHeight="1" s="34"/>
    <row r="453" ht="33.6" customHeight="1" s="34"/>
    <row r="454" ht="33.6" customHeight="1" s="34"/>
    <row r="455" ht="33.6" customHeight="1" s="34"/>
    <row r="456" ht="33.6" customHeight="1" s="34"/>
    <row r="457" ht="33.6" customHeight="1" s="34"/>
    <row r="458" ht="33.6" customHeight="1" s="34"/>
    <row r="459" ht="33.6" customHeight="1" s="34"/>
    <row r="460" ht="33.6" customHeight="1" s="34"/>
    <row r="461" ht="33.6" customHeight="1" s="34"/>
    <row r="462" ht="33.6" customHeight="1" s="34"/>
    <row r="463" ht="33.6" customHeight="1" s="34"/>
    <row r="464" ht="33.6" customHeight="1" s="34"/>
    <row r="465" ht="33.6" customHeight="1" s="34"/>
    <row r="466" ht="33.6" customHeight="1" s="34"/>
    <row r="467" ht="33.6" customHeight="1" s="34"/>
    <row r="468" ht="33.6" customHeight="1" s="34"/>
    <row r="469" ht="33.6" customHeight="1" s="34"/>
    <row r="470" ht="33.6" customHeight="1" s="34"/>
    <row r="471" ht="33.6" customHeight="1" s="34"/>
    <row r="472" ht="33.6" customHeight="1" s="34"/>
    <row r="473" ht="33.6" customHeight="1" s="34"/>
    <row r="474" ht="33.6" customHeight="1" s="34"/>
    <row r="475" ht="33.6" customHeight="1" s="34"/>
    <row r="476" ht="33.6" customHeight="1" s="34"/>
    <row r="477" ht="33.6" customHeight="1" s="34"/>
    <row r="478" ht="33.6" customHeight="1" s="34"/>
    <row r="479" ht="33.6" customHeight="1" s="34"/>
    <row r="480" ht="33.6" customHeight="1" s="34"/>
    <row r="481" ht="33.6" customHeight="1" s="34"/>
    <row r="482" ht="33.6" customHeight="1" s="34"/>
    <row r="483" ht="33.6" customHeight="1" s="34"/>
    <row r="484" ht="33.6" customHeight="1" s="34"/>
    <row r="485" ht="33.6" customHeight="1" s="34"/>
    <row r="486" ht="33.6" customHeight="1" s="34"/>
    <row r="487" ht="33.6" customHeight="1" s="34"/>
    <row r="488" ht="33.6" customHeight="1" s="34"/>
    <row r="489" ht="33.6" customHeight="1" s="34"/>
    <row r="490" ht="33.6" customHeight="1" s="34"/>
    <row r="491" ht="33.6" customHeight="1" s="34"/>
    <row r="492" ht="33.6" customHeight="1" s="34"/>
    <row r="493" ht="33.6" customHeight="1" s="34"/>
    <row r="494" ht="33.6" customHeight="1" s="34"/>
    <row r="495" ht="33.6" customHeight="1" s="34"/>
    <row r="496" ht="33.6" customHeight="1" s="34"/>
    <row r="497" ht="33.6" customHeight="1" s="34"/>
    <row r="498" ht="33.6" customHeight="1" s="34"/>
    <row r="499" ht="33.6" customHeight="1" s="34"/>
    <row r="500" ht="33.6" customHeight="1" s="34"/>
    <row r="501" ht="33.6" customHeight="1" s="34"/>
    <row r="502" ht="33.6" customHeight="1" s="34"/>
    <row r="503" ht="33.6" customHeight="1" s="34"/>
    <row r="504" ht="33.6" customHeight="1" s="34"/>
    <row r="505" ht="33.6" customHeight="1" s="34"/>
    <row r="506" ht="33.6" customHeight="1" s="34"/>
    <row r="507" ht="33.6" customHeight="1" s="34"/>
    <row r="508" ht="33.6" customHeight="1" s="34"/>
    <row r="509" ht="33.6" customHeight="1" s="34"/>
    <row r="510" ht="33.6" customHeight="1" s="34"/>
    <row r="511" ht="33.6" customHeight="1" s="34"/>
    <row r="512" ht="33.6" customHeight="1" s="34"/>
    <row r="513" ht="33.6" customHeight="1" s="34"/>
    <row r="514" ht="33.6" customHeight="1" s="34"/>
    <row r="515" ht="33.6" customHeight="1" s="34"/>
    <row r="516" ht="33.6" customHeight="1" s="34"/>
    <row r="517" ht="33.6" customHeight="1" s="34"/>
    <row r="518" ht="33.6" customHeight="1" s="34"/>
    <row r="519" ht="33.6" customHeight="1" s="34"/>
    <row r="520" ht="33.6" customHeight="1" s="34"/>
    <row r="521" ht="33.6" customHeight="1" s="34"/>
    <row r="522" ht="33.6" customHeight="1" s="34"/>
    <row r="523" ht="33.6" customHeight="1" s="34"/>
    <row r="524" ht="33.6" customHeight="1" s="34"/>
    <row r="525" ht="33.6" customHeight="1" s="34"/>
    <row r="526" ht="33.6" customHeight="1" s="34"/>
    <row r="527" ht="33.6" customHeight="1" s="34"/>
    <row r="528" ht="33.6" customHeight="1" s="34"/>
    <row r="529" ht="33.6" customHeight="1" s="34"/>
    <row r="530" ht="33.6" customHeight="1" s="34"/>
    <row r="531" ht="33.6" customHeight="1" s="34"/>
    <row r="532" ht="33.6" customHeight="1" s="34"/>
    <row r="533" ht="33.6" customHeight="1" s="34"/>
    <row r="534" ht="33.6" customHeight="1" s="34"/>
    <row r="535" ht="33.6" customHeight="1" s="34"/>
    <row r="536" ht="33.6" customHeight="1" s="34"/>
    <row r="537" ht="33.6" customHeight="1" s="34"/>
    <row r="538" ht="33.6" customHeight="1" s="34"/>
    <row r="539" ht="33.6" customHeight="1" s="34"/>
    <row r="540" ht="33.6" customHeight="1" s="34"/>
    <row r="541" ht="33.6" customHeight="1" s="34"/>
    <row r="542" ht="33.6" customHeight="1" s="34"/>
    <row r="543" ht="33.6" customHeight="1" s="34"/>
    <row r="544" ht="33.6" customHeight="1" s="34"/>
    <row r="545" ht="33.6" customHeight="1" s="34"/>
    <row r="546" ht="33.6" customHeight="1" s="34"/>
    <row r="547" ht="33.6" customHeight="1" s="34"/>
    <row r="548" ht="33.6" customHeight="1" s="34"/>
    <row r="549" ht="33.6" customHeight="1" s="34"/>
    <row r="550" ht="33.6" customHeight="1" s="34"/>
    <row r="551" ht="33.6" customHeight="1" s="34"/>
    <row r="552" ht="33.6" customHeight="1" s="34"/>
    <row r="553" ht="33.6" customHeight="1" s="34"/>
    <row r="554" ht="33.6" customHeight="1" s="34"/>
    <row r="555" ht="33.6" customHeight="1" s="34"/>
    <row r="556" ht="33.6" customHeight="1" s="34"/>
    <row r="557" ht="33.6" customHeight="1" s="34"/>
    <row r="558" ht="33.6" customHeight="1" s="34"/>
    <row r="559" ht="33.6" customHeight="1" s="34"/>
    <row r="560" ht="33.6" customHeight="1" s="34"/>
    <row r="561" ht="33.6" customHeight="1" s="34"/>
    <row r="562" ht="33.6" customHeight="1" s="34"/>
    <row r="563" ht="33.6" customHeight="1" s="34"/>
    <row r="564" ht="33.6" customHeight="1" s="34"/>
    <row r="565" ht="33.6" customHeight="1" s="34"/>
    <row r="566" ht="33.6" customHeight="1" s="34"/>
    <row r="567" ht="33.6" customHeight="1" s="34"/>
    <row r="568" ht="33.6" customHeight="1" s="34"/>
    <row r="569" ht="33.6" customHeight="1" s="34"/>
    <row r="570" ht="33.6" customHeight="1" s="34"/>
    <row r="571" ht="33.6" customHeight="1" s="34"/>
    <row r="572" ht="33.6" customHeight="1" s="34"/>
    <row r="573" ht="33.6" customHeight="1" s="34"/>
    <row r="574" ht="33.6" customHeight="1" s="34"/>
    <row r="575" ht="33.6" customHeight="1" s="34"/>
    <row r="576" ht="33.6" customHeight="1" s="34"/>
    <row r="577" ht="33.6" customHeight="1" s="34"/>
    <row r="578" ht="33.6" customHeight="1" s="34"/>
    <row r="579" ht="33.6" customHeight="1" s="34"/>
    <row r="580" ht="33.6" customHeight="1" s="34"/>
    <row r="581" ht="33.6" customHeight="1" s="34"/>
    <row r="582" ht="33.6" customHeight="1" s="34"/>
    <row r="583" ht="33.6" customHeight="1" s="34"/>
    <row r="584" ht="33.6" customHeight="1" s="34"/>
    <row r="585" ht="33.6" customHeight="1" s="34"/>
    <row r="586" ht="33.6" customHeight="1" s="34"/>
    <row r="587" ht="33.6" customHeight="1" s="34"/>
    <row r="588" ht="33.6" customHeight="1" s="34"/>
    <row r="589" ht="33.6" customHeight="1" s="34"/>
    <row r="590" ht="33.6" customHeight="1" s="34"/>
    <row r="591" ht="33.6" customHeight="1" s="34"/>
  </sheetData>
  <autoFilter ref="A3:J15"/>
  <mergeCells count="2">
    <mergeCell ref="A1:I1"/>
    <mergeCell ref="A2:I2"/>
  </mergeCells>
  <dataValidations count="4">
    <dataValidation sqref="E4:E500" showDropDown="0" showInputMessage="0" showErrorMessage="0" allowBlank="1" type="list">
      <formula1>"Duplicado,Revisión sistemática,Fuera de alcance,Otro"</formula1>
    </dataValidation>
    <dataValidation sqref="G4:G500" showDropDown="0" showInputMessage="0" showErrorMessage="0" allowBlank="1" type="list">
      <formula1>"Sí,No"</formula1>
    </dataValidation>
    <dataValidation sqref="H4:H500" showDropDown="0" showInputMessage="0" showErrorMessage="0" allowBlank="1" type="list">
      <formula1>"Primario,Revisión,Otro"</formula1>
    </dataValidation>
    <dataValidation sqref="I4:I500" showDropDown="0" showInputMessage="0" showErrorMessage="0" allowBlank="1" type="list">
      <formula1>"Mantener,Excluir"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"/>
  <sheetViews>
    <sheetView zoomScale="81" zoomScaleNormal="81" workbookViewId="0">
      <selection activeCell="B212" sqref="B212"/>
    </sheetView>
  </sheetViews>
  <sheetFormatPr baseColWidth="10" defaultColWidth="8.88671875" defaultRowHeight="14.4"/>
  <cols>
    <col width="12.33203125" customWidth="1" style="34" min="1" max="1"/>
    <col width="16" customWidth="1" style="34" min="2" max="2"/>
    <col width="55" customWidth="1" style="34" min="3" max="3"/>
    <col width="45" customWidth="1" style="34" min="4" max="4"/>
    <col width="55" customWidth="1" style="34" min="5" max="9"/>
    <col width="13" customWidth="1" style="34" min="6" max="6"/>
    <col width="13" customWidth="1" style="34" min="7" max="7"/>
    <col width="13" customWidth="1" style="34" min="8" max="8"/>
    <col width="13" customWidth="1" style="34" min="9" max="9"/>
    <col width="37.109375" customWidth="1" style="34" min="10" max="10"/>
    <col width="44" customWidth="1" style="34" min="11" max="11"/>
    <col width="35" customWidth="1" style="34" min="12" max="12"/>
    <col width="55" customWidth="1" style="34" min="13" max="13"/>
    <col width="30" customWidth="1" style="34" min="14" max="14"/>
  </cols>
  <sheetData>
    <row r="1" ht="17.55" customHeight="1" s="34">
      <c r="A1" s="49" t="inlineStr">
        <is>
          <t>Tamizaje_Titulo_Abstract_Keywords</t>
        </is>
      </c>
    </row>
    <row r="2" ht="28.8" customHeight="1" s="34">
      <c r="A2" s="33" t="inlineStr">
        <is>
          <t>Cribado por título, abstract y keywords. Registra la evidencia de cada eje y decide si el registro pasa a evaluación de calidad.</t>
        </is>
      </c>
    </row>
    <row r="3" ht="28.8" customHeight="1" s="34">
      <c r="A3" s="50" t="inlineStr">
        <is>
          <t>ID</t>
        </is>
      </c>
      <c r="B3" s="50" t="inlineStr">
        <is>
          <t>Base de datos</t>
        </is>
      </c>
      <c r="C3" s="50" t="inlineStr">
        <is>
          <t>Título completo</t>
        </is>
      </c>
      <c r="D3" s="50" t="inlineStr">
        <is>
          <t>Keywords principales</t>
        </is>
      </c>
      <c r="E3" s="50" t="inlineStr">
        <is>
          <t>Resumen técnico del abstract</t>
        </is>
      </c>
      <c r="F3" s="50" t="inlineStr">
        <is>
          <t>Evidencia de Inteligencia Artificial</t>
        </is>
      </c>
      <c r="G3" s="50" t="inlineStr">
        <is>
          <t>Evidencia de HCI / UX / UCD / usability</t>
        </is>
      </c>
      <c r="H3" s="50" t="inlineStr">
        <is>
          <t>Evidencia de aplicación móvil</t>
        </is>
      </c>
      <c r="I3" s="50" t="inlineStr">
        <is>
          <t>Evidencia de design / framework / methodology / approach</t>
        </is>
      </c>
      <c r="J3" s="50" t="inlineStr">
        <is>
          <t>Evidencia de agricultura / farming / smart agriculture</t>
        </is>
      </c>
      <c r="K3" s="50" t="inlineStr">
        <is>
          <t>Tipo de estudio (Primario / Revisión / Otro)</t>
        </is>
      </c>
      <c r="L3" s="50" t="inlineStr">
        <is>
          <t>Nivel de alineación con el objetivo</t>
        </is>
      </c>
      <c r="M3" s="50" t="inlineStr">
        <is>
          <t>Motivo de clasificación</t>
        </is>
      </c>
      <c r="N3" s="50" t="inlineStr">
        <is>
          <t>¿Pasa a evaluación de calidad?</t>
        </is>
      </c>
    </row>
    <row r="4" ht="33.6" customHeight="1" s="34">
      <c r="A4" s="51" t="inlineStr">
        <is>
          <t>H0001</t>
        </is>
      </c>
      <c r="B4" s="51" t="inlineStr">
        <is>
          <t>IEEE Xplore</t>
        </is>
      </c>
      <c r="C4" s="51" t="inlineStr">
        <is>
          <t>Unified Approach for Avocado Leaf Disease Classification: CNN-SVM Fusion</t>
        </is>
      </c>
      <c r="D4" s="51" t="inlineStr">
        <is>
          <t>avocado leaf disease; CNN; SVM; image classification; anthracnose</t>
        </is>
      </c>
      <c r="E4" s="51" t="inlineStr">
        <is>
          <t>Study focused on avocado leaf disease classification using a CNN-SVM fusion approach. It is directly aligned with automated diagnosis of foliar diseases in Persea americana.</t>
        </is>
      </c>
      <c r="F4" s="51" t="inlineStr">
        <is>
          <t>Sí: CNN-SVM</t>
        </is>
      </c>
      <c r="G4" s="51" t="inlineStr">
        <is>
          <t>Parcial: se evaluará para interfaz/app móvil si aporta a la propuesta</t>
        </is>
      </c>
      <c r="H4" s="51" t="inlineStr">
        <is>
          <t>No explícita</t>
        </is>
      </c>
      <c r="I4" s="51" t="inlineStr">
        <is>
          <t>Sí: aporta método, diagnóstico, clasificación o criterio de revisión</t>
        </is>
      </c>
      <c r="J4" s="51" t="inlineStr">
        <is>
          <t>Sí: aguacate, enfermedad foliar</t>
        </is>
      </c>
      <c r="K4" s="51" t="inlineStr">
        <is>
          <t>Conference paper</t>
        </is>
      </c>
      <c r="L4" s="51" t="inlineStr">
        <is>
          <t>Alta</t>
        </is>
      </c>
      <c r="M4" s="51" t="inlineStr">
        <is>
          <t>IA aplicada a hojas de aguacate</t>
        </is>
      </c>
      <c r="N4" s="51" t="inlineStr">
        <is>
          <t>Sí</t>
        </is>
      </c>
    </row>
    <row r="5" ht="33.6" customHeight="1" s="34">
      <c r="A5" s="51" t="inlineStr">
        <is>
          <t>H0002</t>
        </is>
      </c>
      <c r="B5" s="51" t="inlineStr">
        <is>
          <t>IEEE Xplore</t>
        </is>
      </c>
      <c r="C5" s="51" t="inlineStr">
        <is>
          <t>Plant Leaf Disease Detection, Classification, and Diagnosis Using Computer Vision and Artificial Intelligence: A Review</t>
        </is>
      </c>
      <c r="D5" s="51" t="inlineStr">
        <is>
          <t>plant leaf disease; computer vision; artificial intelligence; deep learning; review</t>
        </is>
      </c>
      <c r="E5" s="51" t="inlineStr">
        <is>
          <t>Review of plant leaf disease detection, classification and diagnosis using computer vision and artificial intelligence.</t>
        </is>
      </c>
      <c r="F5" s="51" t="inlineStr">
        <is>
          <t>Sí: IA, computer vision, deep learning</t>
        </is>
      </c>
      <c r="G5" s="51" t="inlineStr">
        <is>
          <t>Parcial: se evaluará para interfaz/app móvil si aporta a la propuesta</t>
        </is>
      </c>
      <c r="H5" s="51" t="inlineStr">
        <is>
          <t>No explícita</t>
        </is>
      </c>
      <c r="I5" s="51" t="inlineStr">
        <is>
          <t>Sí: aporta método, diagnóstico, clasificación o criterio de revisión</t>
        </is>
      </c>
      <c r="J5" s="51" t="inlineStr">
        <is>
          <t>Sí: enfermedades foliares</t>
        </is>
      </c>
      <c r="K5" s="51" t="inlineStr">
        <is>
          <t>Review</t>
        </is>
      </c>
      <c r="L5" s="51" t="inlineStr">
        <is>
          <t>Media</t>
        </is>
      </c>
      <c r="M5" s="51" t="inlineStr">
        <is>
          <t>Estado del arte IA foliar</t>
        </is>
      </c>
      <c r="N5" s="51" t="inlineStr">
        <is>
          <t>Sí</t>
        </is>
      </c>
    </row>
    <row r="6" ht="33.6" customHeight="1" s="34">
      <c r="A6" s="51" t="inlineStr">
        <is>
          <t>H0003</t>
        </is>
      </c>
      <c r="B6" s="51" t="inlineStr">
        <is>
          <t>IEEE Xplore</t>
        </is>
      </c>
      <c r="C6" s="51" t="inlineStr">
        <is>
          <t>Real-Time Detection and Identification of Plant Leaf Diseases using YOLOv4-tiny</t>
        </is>
      </c>
      <c r="D6" s="51" t="inlineStr">
        <is>
          <t>YOLOv4-tiny; plant leaf disease; real-time detection; object detection</t>
        </is>
      </c>
      <c r="E6" s="51" t="inlineStr">
        <is>
          <t>Methodological antecedent for real-time detection and identification of plant leaf diseases using a lightweight YOLO model.</t>
        </is>
      </c>
      <c r="F6" s="51" t="inlineStr">
        <is>
          <t>Sí: YOLOv4-tiny</t>
        </is>
      </c>
      <c r="G6" s="51" t="inlineStr">
        <is>
          <t>Parcial: se evaluará para interfaz/app móvil si aporta a la propuesta</t>
        </is>
      </c>
      <c r="H6" s="51" t="inlineStr">
        <is>
          <t>No explícita</t>
        </is>
      </c>
      <c r="I6" s="51" t="inlineStr">
        <is>
          <t>Sí: aporta método, diagnóstico, clasificación o criterio de revisión</t>
        </is>
      </c>
      <c r="J6" s="51" t="inlineStr">
        <is>
          <t>Sí: enfermedad foliar vegetal</t>
        </is>
      </c>
      <c r="K6" s="51" t="inlineStr">
        <is>
          <t>Conference paper</t>
        </is>
      </c>
      <c r="L6" s="51" t="inlineStr">
        <is>
          <t>Media</t>
        </is>
      </c>
      <c r="M6" s="51" t="inlineStr">
        <is>
          <t>YOLO para enfermedades foliares</t>
        </is>
      </c>
      <c r="N6" s="51" t="inlineStr">
        <is>
          <t>Sí</t>
        </is>
      </c>
    </row>
    <row r="7" ht="33.6" customHeight="1" s="34">
      <c r="A7" s="51" t="inlineStr">
        <is>
          <t>H0004</t>
        </is>
      </c>
      <c r="B7" s="51" t="inlineStr">
        <is>
          <t>Scientific Reports</t>
        </is>
      </c>
      <c r="C7" s="51" t="inlineStr">
        <is>
          <t>Spectrally optimised YOLOv10s-SeqOpt framework for real-time UAV-based early detection of avocado foliar diseases in Indian orchards</t>
        </is>
      </c>
      <c r="D7" s="51" t="inlineStr">
        <is>
          <t>avocado; foliar diseases; UAV; YOLOv10s; deep learning; early detection</t>
        </is>
      </c>
      <c r="E7" s="51" t="inlineStr">
        <is>
          <t>Direct study on UAV-based early detection of avocado foliar diseases using an optimized YOLOv10s framework.</t>
        </is>
      </c>
      <c r="F7" s="51" t="inlineStr">
        <is>
          <t>Sí: YOLOv10s, deep learning</t>
        </is>
      </c>
      <c r="G7" s="51" t="inlineStr">
        <is>
          <t>Parcial: se evaluará para interfaz/app móvil si aporta a la propuesta</t>
        </is>
      </c>
      <c r="H7" s="51" t="inlineStr">
        <is>
          <t>No explícita</t>
        </is>
      </c>
      <c r="I7" s="51" t="inlineStr">
        <is>
          <t>Sí: aporta método, diagnóstico, clasificación o criterio de revisión</t>
        </is>
      </c>
      <c r="J7" s="51" t="inlineStr">
        <is>
          <t>Sí: aguacate, enfermedades foliares</t>
        </is>
      </c>
      <c r="K7" s="51" t="inlineStr">
        <is>
          <t>Article</t>
        </is>
      </c>
      <c r="L7" s="51" t="inlineStr">
        <is>
          <t>Alta</t>
        </is>
      </c>
      <c r="M7" s="51" t="inlineStr">
        <is>
          <t>UAV e IA en aguacate</t>
        </is>
      </c>
      <c r="N7" s="51" t="inlineStr">
        <is>
          <t>Sí</t>
        </is>
      </c>
    </row>
    <row r="8" ht="33.6" customHeight="1" s="34">
      <c r="A8" s="51" t="inlineStr">
        <is>
          <t>H0005</t>
        </is>
      </c>
      <c r="B8" s="51" t="inlineStr">
        <is>
          <t>AgriEngineering</t>
        </is>
      </c>
      <c r="C8" s="51" t="inlineStr">
        <is>
          <t>Spatial Mapping of Avocado Anthracnose Severity Using UAV-Derived Vegetation Indices in Amazonas, Peru</t>
        </is>
      </c>
      <c r="D8" s="51" t="inlineStr">
        <is>
          <t>avocado; anthracnose; UAV; vegetation indices; severity mapping; Peru</t>
        </is>
      </c>
      <c r="E8" s="51" t="inlineStr">
        <is>
          <t>Maps avocado anthracnose severity using UAV-derived vegetation indices in Amazonas, Peru.</t>
        </is>
      </c>
      <c r="F8" s="51" t="inlineStr">
        <is>
          <t>Parcial: índices de vegetación y análisis espacial</t>
        </is>
      </c>
      <c r="G8" s="51" t="inlineStr">
        <is>
          <t>Parcial: se evaluará para interfaz/app móvil si aporta a la propuesta</t>
        </is>
      </c>
      <c r="H8" s="51" t="inlineStr">
        <is>
          <t>No</t>
        </is>
      </c>
      <c r="I8" s="51" t="inlineStr">
        <is>
          <t>Sí: aporta método, diagnóstico, clasificación o criterio de revisión</t>
        </is>
      </c>
      <c r="J8" s="51" t="inlineStr">
        <is>
          <t>Sí: aguacate, antracnosis</t>
        </is>
      </c>
      <c r="K8" s="51" t="inlineStr">
        <is>
          <t>Article</t>
        </is>
      </c>
      <c r="L8" s="51" t="inlineStr">
        <is>
          <t>Alta</t>
        </is>
      </c>
      <c r="M8" s="51" t="inlineStr">
        <is>
          <t>Antracnosis y UAV</t>
        </is>
      </c>
      <c r="N8" s="51" t="inlineStr">
        <is>
          <t>Sí</t>
        </is>
      </c>
    </row>
    <row r="9" ht="33.6" customHeight="1" s="34">
      <c r="A9" s="51" t="inlineStr">
        <is>
          <t>H0006</t>
        </is>
      </c>
      <c r="B9" s="51" t="inlineStr">
        <is>
          <t>International Journal of Plant Biology</t>
        </is>
      </c>
      <c r="C9" s="51" t="inlineStr">
        <is>
          <t>Colletotrichum fructicola Causes Necrotic Leaf Lesions in Avocado (Persea americana) in Amazonas, Peru: First Record and In Vitro Control Using Piper Essential Oils</t>
        </is>
      </c>
      <c r="D9" s="51" t="inlineStr">
        <is>
          <t>Colletotrichum fructicola; avocado; necrotic leaf lesions; Peru; leaf disease</t>
        </is>
      </c>
      <c r="E9" s="51" t="inlineStr">
        <is>
          <t>Reports Colletotrichum fructicola causing necrotic leaf lesions in avocado in Amazonas, Peru.</t>
        </is>
      </c>
      <c r="F9" s="51" t="inlineStr">
        <is>
          <t>No</t>
        </is>
      </c>
      <c r="G9" s="51" t="inlineStr">
        <is>
          <t>Parcial: se evaluará para interfaz/app móvil si aporta a la propuesta</t>
        </is>
      </c>
      <c r="H9" s="51" t="inlineStr">
        <is>
          <t>No</t>
        </is>
      </c>
      <c r="I9" s="51" t="inlineStr">
        <is>
          <t>Parcial: aporta base fitosanitaria</t>
        </is>
      </c>
      <c r="J9" s="51" t="inlineStr">
        <is>
          <t>Sí: aguacate, lesiones foliares</t>
        </is>
      </c>
      <c r="K9" s="51" t="inlineStr">
        <is>
          <t>Article</t>
        </is>
      </c>
      <c r="L9" s="51" t="inlineStr">
        <is>
          <t>Alta</t>
        </is>
      </c>
      <c r="M9" s="51" t="inlineStr">
        <is>
          <t>Lesiones foliares necroticas</t>
        </is>
      </c>
      <c r="N9" s="51" t="inlineStr">
        <is>
          <t>Sí</t>
        </is>
      </c>
    </row>
    <row r="10" ht="33.6" customHeight="1" s="34">
      <c r="A10" s="51" t="inlineStr">
        <is>
          <t>H0007</t>
        </is>
      </c>
      <c r="B10" s="51" t="inlineStr">
        <is>
          <t>Revista Colombiana de Ciencias Hortícolas</t>
        </is>
      </c>
      <c r="C10" s="51" t="inlineStr">
        <is>
          <t>Validation of black spot management strategies in avocado crops in northern Tolima (Colombia)</t>
        </is>
      </c>
      <c r="D10" s="51" t="inlineStr">
        <is>
          <t>Pseudocercospora purpurea; avocado; black spot; Cercospora; management</t>
        </is>
      </c>
      <c r="E10" s="51" t="inlineStr">
        <is>
          <t>Evaluates management strategies for black spot caused by Pseudocercospora purpurea in avocado crops in Colombia.</t>
        </is>
      </c>
      <c r="F10" s="51" t="inlineStr">
        <is>
          <t>No</t>
        </is>
      </c>
      <c r="G10" s="51" t="inlineStr">
        <is>
          <t>Parcial: se evaluará para interfaz/app móvil si aporta a la propuesta</t>
        </is>
      </c>
      <c r="H10" s="51" t="inlineStr">
        <is>
          <t>No</t>
        </is>
      </c>
      <c r="I10" s="51" t="inlineStr">
        <is>
          <t>Parcial: aporta base fitosanitaria</t>
        </is>
      </c>
      <c r="J10" s="51" t="inlineStr">
        <is>
          <t>Sí: aguacate, mancha negra</t>
        </is>
      </c>
      <c r="K10" s="51" t="inlineStr">
        <is>
          <t>Article</t>
        </is>
      </c>
      <c r="L10" s="51" t="inlineStr">
        <is>
          <t>Alta</t>
        </is>
      </c>
      <c r="M10" s="51" t="inlineStr">
        <is>
          <t>Cercospora y mancha negra</t>
        </is>
      </c>
      <c r="N10" s="51" t="inlineStr">
        <is>
          <t>Sí</t>
        </is>
      </c>
    </row>
    <row r="11" ht="33.6" customHeight="1" s="34">
      <c r="A11" s="51" t="inlineStr">
        <is>
          <t>H0008</t>
        </is>
      </c>
      <c r="B11" s="51" t="inlineStr">
        <is>
          <t>Journal of Sol-Gel Science and Technology</t>
        </is>
      </c>
      <c r="C11" s="51" t="inlineStr">
        <is>
          <t>Silica-based nanomaterials for the control of Trioza anceps: Laboratory bioassays and preliminary field observations</t>
        </is>
      </c>
      <c r="D11" s="51" t="inlineStr">
        <is>
          <t>Trioza anceps; avocado; leaf gall; foliar gall; control</t>
        </is>
      </c>
      <c r="E11" s="51" t="inlineStr">
        <is>
          <t>Evaluates silica-based nanomaterials for control of Trioza anceps, a foliar gall pest in avocado.</t>
        </is>
      </c>
      <c r="F11" s="51" t="inlineStr">
        <is>
          <t>No</t>
        </is>
      </c>
      <c r="G11" s="51" t="inlineStr">
        <is>
          <t>Parcial: se evaluará para interfaz/app móvil si aporta a la propuesta</t>
        </is>
      </c>
      <c r="H11" s="51" t="inlineStr">
        <is>
          <t>No</t>
        </is>
      </c>
      <c r="I11" s="51" t="inlineStr">
        <is>
          <t>Parcial: aporta base fitosanitaria</t>
        </is>
      </c>
      <c r="J11" s="51" t="inlineStr">
        <is>
          <t>Sí: aguacate, Trioza anceps</t>
        </is>
      </c>
      <c r="K11" s="51" t="inlineStr">
        <is>
          <t>Article</t>
        </is>
      </c>
      <c r="L11" s="51" t="inlineStr">
        <is>
          <t>Media</t>
        </is>
      </c>
      <c r="M11" s="51" t="inlineStr">
        <is>
          <t>Agallas foliares</t>
        </is>
      </c>
      <c r="N11" s="51" t="inlineStr">
        <is>
          <t>Sí</t>
        </is>
      </c>
    </row>
    <row r="12" ht="33.6" customHeight="1" s="34">
      <c r="A12" s="51" t="inlineStr">
        <is>
          <t>H0009</t>
        </is>
      </c>
      <c r="B12" s="51" t="inlineStr">
        <is>
          <t>Journal of Economic Entomology</t>
        </is>
      </c>
      <c r="C12" s="51" t="inlineStr">
        <is>
          <t>Biocontrol Potential of Neoseiulus californicus Against Oligonychus punicae in Avocado</t>
        </is>
      </c>
      <c r="D12" s="51" t="inlineStr">
        <is>
          <t>Oligonychus punicae; avocado; mite; biocontrol; Neoseiulus californicus</t>
        </is>
      </c>
      <c r="E12" s="51" t="inlineStr">
        <is>
          <t>Evaluates the biocontrol potential of Neoseiulus californicus against Oligonychus punicae in avocado.</t>
        </is>
      </c>
      <c r="F12" s="51" t="inlineStr">
        <is>
          <t>No</t>
        </is>
      </c>
      <c r="G12" s="51" t="inlineStr">
        <is>
          <t>Parcial: se evaluará para interfaz/app móvil si aporta a la propuesta</t>
        </is>
      </c>
      <c r="H12" s="51" t="inlineStr">
        <is>
          <t>No</t>
        </is>
      </c>
      <c r="I12" s="51" t="inlineStr">
        <is>
          <t>Parcial: aporta base fitosanitaria</t>
        </is>
      </c>
      <c r="J12" s="51" t="inlineStr">
        <is>
          <t>Sí: aguacate, ácaros</t>
        </is>
      </c>
      <c r="K12" s="51" t="inlineStr">
        <is>
          <t>Article</t>
        </is>
      </c>
      <c r="L12" s="51" t="inlineStr">
        <is>
          <t>Media</t>
        </is>
      </c>
      <c r="M12" s="51" t="inlineStr">
        <is>
          <t>Araña roja y acaros</t>
        </is>
      </c>
      <c r="N12" s="51" t="inlineStr">
        <is>
          <t>Sí</t>
        </is>
      </c>
    </row>
    <row r="13" ht="33.6" customHeight="1" s="34">
      <c r="A13" s="51" t="inlineStr">
        <is>
          <t>H0010</t>
        </is>
      </c>
      <c r="B13" s="51" t="inlineStr">
        <is>
          <t>Plant Health Progress</t>
        </is>
      </c>
      <c r="C13" s="51" t="inlineStr">
        <is>
          <t>Avocado Scab Caused by Elsinoe perseae: A Diagnostic Guide</t>
        </is>
      </c>
      <c r="D13" s="51" t="inlineStr">
        <is>
          <t>avocado scab; Elsinoe perseae; diagnosis; disease guide</t>
        </is>
      </c>
      <c r="E13" s="51" t="inlineStr">
        <is>
          <t>Diagnostic guide for avocado scab caused by Elsinoe perseae.</t>
        </is>
      </c>
      <c r="F13" s="51" t="inlineStr">
        <is>
          <t>No</t>
        </is>
      </c>
      <c r="G13" s="51" t="inlineStr">
        <is>
          <t>Parcial: se evaluará para interfaz/app móvil si aporta a la propuesta</t>
        </is>
      </c>
      <c r="H13" s="51" t="inlineStr">
        <is>
          <t>No</t>
        </is>
      </c>
      <c r="I13" s="51" t="inlineStr">
        <is>
          <t>Parcial: aporta base fitosanitaria</t>
        </is>
      </c>
      <c r="J13" s="51" t="inlineStr">
        <is>
          <t>Sí: aguacate, roña</t>
        </is>
      </c>
      <c r="K13" s="51" t="inlineStr">
        <is>
          <t>Diagnostic guide</t>
        </is>
      </c>
      <c r="L13" s="51" t="inlineStr">
        <is>
          <t>Media</t>
        </is>
      </c>
      <c r="M13" s="51" t="inlineStr">
        <is>
          <t>Roña</t>
        </is>
      </c>
      <c r="N13" s="51" t="inlineStr">
        <is>
          <t>Sí</t>
        </is>
      </c>
    </row>
    <row r="14" ht="33.6" customHeight="1" s="34">
      <c r="A14" s="51" t="inlineStr">
        <is>
          <t>H0011</t>
        </is>
      </c>
      <c r="B14" s="51" t="inlineStr">
        <is>
          <t>Journal</t>
        </is>
      </c>
      <c r="C14" s="51" t="inlineStr">
        <is>
          <t>Real-time hass avocado ripeness detection using close-range UAV imagery and YOLO-based deep learning</t>
        </is>
      </c>
      <c r="D14" s="51" t="inlineStr">
        <is>
          <t>avocado; UAV imagery; YOLO; deep learning; ripeness detection</t>
        </is>
      </c>
      <c r="E14" s="51" t="inlineStr">
        <is>
          <t>Uses close-range UAV imagery and YOLO-based deep learning for real-time Hass avocado ripeness detection.</t>
        </is>
      </c>
      <c r="F14" s="51" t="inlineStr">
        <is>
          <t>Sí: YOLO, deep learning</t>
        </is>
      </c>
      <c r="G14" s="51" t="inlineStr">
        <is>
          <t>Parcial: se evaluará para interfaz/app móvil si aporta a la propuesta</t>
        </is>
      </c>
      <c r="H14" s="51" t="inlineStr">
        <is>
          <t>No</t>
        </is>
      </c>
      <c r="I14" s="51" t="inlineStr">
        <is>
          <t>Sí: aporta método, diagnóstico, clasificación o criterio de revisión</t>
        </is>
      </c>
      <c r="J14" s="51" t="inlineStr">
        <is>
          <t>Sí: aguacate</t>
        </is>
      </c>
      <c r="K14" s="51" t="inlineStr">
        <is>
          <t>Article</t>
        </is>
      </c>
      <c r="L14" s="51" t="inlineStr">
        <is>
          <t>Media</t>
        </is>
      </c>
      <c r="M14" s="51" t="inlineStr">
        <is>
          <t>YOLO y UAV en aguacate</t>
        </is>
      </c>
      <c r="N14" s="51" t="inlineStr">
        <is>
          <t>Sí</t>
        </is>
      </c>
    </row>
    <row r="15" ht="33.6" customHeight="1" s="34">
      <c r="A15" s="51" t="inlineStr">
        <is>
          <t>H0012</t>
        </is>
      </c>
      <c r="B15" s="51" t="inlineStr">
        <is>
          <t>Scientific Reports</t>
        </is>
      </c>
      <c r="C15" s="51" t="inlineStr">
        <is>
          <t>Simultaneously prediction of multiple wheat leaf phenotypes using hyperspectral imaging with multi-task machine and deep learning</t>
        </is>
      </c>
      <c r="D15" s="51" t="inlineStr">
        <is>
          <t>hyperspectral imaging; leaf phenotype; machine learning; deep learning</t>
        </is>
      </c>
      <c r="E15" s="51" t="inlineStr">
        <is>
          <t>Methodological reference for hyperspectral imaging and multi-task learning applied to leaf phenotype prediction.</t>
        </is>
      </c>
      <c r="F15" s="51" t="inlineStr">
        <is>
          <t>Sí: machine learning, deep learning</t>
        </is>
      </c>
      <c r="G15" s="51" t="inlineStr">
        <is>
          <t>Parcial: se evaluará para interfaz/app móvil si aporta a la propuesta</t>
        </is>
      </c>
      <c r="H15" s="51" t="inlineStr">
        <is>
          <t>No</t>
        </is>
      </c>
      <c r="I15" s="51" t="inlineStr">
        <is>
          <t>Sí: aporta método, diagnóstico, clasificación o criterio de revisión</t>
        </is>
      </c>
      <c r="J15" s="51" t="inlineStr">
        <is>
          <t>Sí: hojas de cultivo</t>
        </is>
      </c>
      <c r="K15" s="51" t="inlineStr">
        <is>
          <t>Article</t>
        </is>
      </c>
      <c r="L15" s="51" t="inlineStr">
        <is>
          <t>Baja</t>
        </is>
      </c>
      <c r="M15" s="51" t="inlineStr">
        <is>
          <t>Cultivos comparativos</t>
        </is>
      </c>
      <c r="N15" s="51" t="inlineStr">
        <is>
          <t>No</t>
        </is>
      </c>
    </row>
    <row r="16" ht="33.6" customHeight="1" s="34"/>
    <row r="17" ht="33.6" customHeight="1" s="34"/>
    <row r="18" ht="33.6" customHeight="1" s="34"/>
    <row r="19" ht="33.6" customHeight="1" s="34"/>
    <row r="20" ht="33.6" customHeight="1" s="34"/>
    <row r="21" ht="33.6" customHeight="1" s="34"/>
    <row r="22" ht="33.6" customHeight="1" s="34"/>
    <row r="23" ht="33.6" customHeight="1" s="34"/>
    <row r="24" ht="33.6" customHeight="1" s="34"/>
    <row r="25" ht="33.6" customHeight="1" s="34"/>
    <row r="26" ht="33.6" customHeight="1" s="34"/>
    <row r="27" ht="33.6" customHeight="1" s="34"/>
    <row r="28" ht="33.6" customHeight="1" s="34"/>
    <row r="29" ht="33.6" customHeight="1" s="34"/>
    <row r="30" ht="33.6" customHeight="1" s="34"/>
    <row r="31" ht="33.6" customHeight="1" s="34"/>
    <row r="32" ht="33.6" customHeight="1" s="34"/>
    <row r="33" ht="33.6" customHeight="1" s="34"/>
    <row r="34" ht="33.6" customHeight="1" s="34"/>
    <row r="35" ht="33.6" customHeight="1" s="34"/>
    <row r="36" ht="33.6" customHeight="1" s="34"/>
    <row r="37" ht="33.6" customHeight="1" s="34"/>
    <row r="38" ht="33.6" customHeight="1" s="34"/>
    <row r="39" ht="33.6" customHeight="1" s="34"/>
    <row r="40" ht="33.6" customHeight="1" s="34"/>
    <row r="41" ht="33.6" customHeight="1" s="34"/>
    <row r="42" ht="33.6" customHeight="1" s="34"/>
    <row r="43" ht="33.6" customHeight="1" s="34"/>
    <row r="44" ht="33.6" customHeight="1" s="34"/>
    <row r="45" ht="33.6" customHeight="1" s="34"/>
    <row r="46" ht="33.6" customHeight="1" s="34"/>
    <row r="47" ht="33.6" customHeight="1" s="34"/>
    <row r="48" ht="33.6" customHeight="1" s="34"/>
    <row r="49" ht="33.6" customHeight="1" s="34"/>
    <row r="50" ht="33.6" customHeight="1" s="34"/>
    <row r="51" ht="33.6" customHeight="1" s="34"/>
    <row r="52" ht="33.6" customHeight="1" s="34"/>
    <row r="53" ht="33.6" customHeight="1" s="34"/>
    <row r="54" ht="33.6" customHeight="1" s="34"/>
    <row r="55" ht="33.6" customHeight="1" s="34"/>
    <row r="56" ht="33.6" customHeight="1" s="34"/>
    <row r="57" ht="33.6" customHeight="1" s="34"/>
    <row r="58" ht="33.6" customHeight="1" s="34"/>
    <row r="59" ht="33.6" customHeight="1" s="34"/>
    <row r="60" ht="33.6" customHeight="1" s="34"/>
    <row r="61" ht="33.6" customHeight="1" s="34"/>
    <row r="62" ht="33.6" customHeight="1" s="34"/>
    <row r="63" ht="33.6" customHeight="1" s="34"/>
    <row r="64" ht="33.6" customHeight="1" s="34"/>
    <row r="65" ht="33.6" customHeight="1" s="34"/>
    <row r="66" ht="33.6" customHeight="1" s="34"/>
    <row r="67" ht="33.6" customHeight="1" s="34"/>
    <row r="68" ht="33.6" customHeight="1" s="34"/>
    <row r="69" ht="33.6" customHeight="1" s="34"/>
    <row r="70" ht="33.6" customHeight="1" s="34"/>
    <row r="71" ht="33.6" customHeight="1" s="34"/>
    <row r="72" ht="33.6" customHeight="1" s="34"/>
    <row r="73" ht="33.6" customHeight="1" s="34"/>
    <row r="74" ht="33.6" customHeight="1" s="34"/>
    <row r="75" ht="33.6" customHeight="1" s="34"/>
    <row r="76" ht="33.6" customHeight="1" s="34"/>
    <row r="77" ht="33.6" customHeight="1" s="34"/>
    <row r="78" ht="33.6" customHeight="1" s="34"/>
    <row r="79" ht="33.6" customHeight="1" s="34"/>
    <row r="80" ht="33.6" customHeight="1" s="34"/>
    <row r="81" ht="33.6" customHeight="1" s="34"/>
    <row r="82" ht="33.6" customHeight="1" s="34"/>
    <row r="83" ht="33.6" customHeight="1" s="34"/>
    <row r="84" ht="33.6" customHeight="1" s="34"/>
    <row r="85" ht="33.6" customHeight="1" s="34"/>
    <row r="86" ht="33.6" customHeight="1" s="34"/>
    <row r="87" ht="33.6" customHeight="1" s="34"/>
    <row r="88" ht="33.6" customHeight="1" s="34"/>
    <row r="89" ht="33.6" customHeight="1" s="34"/>
    <row r="90" ht="33.6" customHeight="1" s="34"/>
    <row r="91" ht="33.6" customHeight="1" s="34"/>
    <row r="92" ht="33.6" customHeight="1" s="34"/>
    <row r="93" ht="33.6" customHeight="1" s="34"/>
    <row r="94" ht="33.6" customHeight="1" s="34"/>
    <row r="95" ht="33.6" customHeight="1" s="34"/>
    <row r="96" ht="33.6" customHeight="1" s="34"/>
    <row r="97" ht="33.6" customHeight="1" s="34"/>
    <row r="98" ht="33.6" customHeight="1" s="34"/>
    <row r="99" ht="33.6" customHeight="1" s="34"/>
    <row r="100" ht="33.6" customHeight="1" s="34"/>
    <row r="101" ht="33.6" customHeight="1" s="34"/>
    <row r="102" ht="33.6" customHeight="1" s="34"/>
    <row r="103" ht="33.6" customHeight="1" s="34"/>
    <row r="104" ht="33.6" customHeight="1" s="34"/>
    <row r="105" ht="33.6" customHeight="1" s="34"/>
    <row r="106" ht="33.6" customHeight="1" s="34"/>
    <row r="107" ht="33.6" customHeight="1" s="34"/>
    <row r="108" ht="33.6" customHeight="1" s="34"/>
    <row r="109" ht="33.6" customHeight="1" s="34"/>
    <row r="110" ht="33.6" customHeight="1" s="34"/>
    <row r="111" ht="33.6" customHeight="1" s="34"/>
    <row r="112" ht="33.6" customHeight="1" s="34"/>
    <row r="113" ht="33.6" customHeight="1" s="34"/>
    <row r="114" ht="33.6" customHeight="1" s="34"/>
    <row r="115" ht="33.6" customHeight="1" s="34"/>
    <row r="116" ht="33.6" customHeight="1" s="34"/>
    <row r="117" ht="33.6" customHeight="1" s="34"/>
    <row r="118" ht="33.6" customHeight="1" s="34"/>
    <row r="119" ht="33.6" customHeight="1" s="34"/>
    <row r="120" ht="33.6" customHeight="1" s="34"/>
    <row r="121" ht="33.6" customHeight="1" s="34"/>
    <row r="122" ht="33.6" customHeight="1" s="34"/>
    <row r="123" ht="33.6" customHeight="1" s="34"/>
    <row r="124" ht="33.6" customHeight="1" s="34"/>
    <row r="125" ht="33.6" customHeight="1" s="34"/>
    <row r="126" ht="33.6" customHeight="1" s="34"/>
    <row r="127" ht="33.6" customHeight="1" s="34"/>
    <row r="128" ht="33.6" customHeight="1" s="34"/>
    <row r="129" ht="33.6" customHeight="1" s="34"/>
    <row r="130" ht="33.6" customHeight="1" s="34"/>
    <row r="131" ht="33.6" customHeight="1" s="34"/>
    <row r="132" ht="33.6" customHeight="1" s="34"/>
    <row r="133" ht="33.6" customHeight="1" s="34"/>
    <row r="134" ht="33.6" customHeight="1" s="34"/>
    <row r="135" ht="33.6" customHeight="1" s="34"/>
    <row r="136" ht="33.6" customHeight="1" s="34"/>
    <row r="137" ht="33.6" customHeight="1" s="34"/>
    <row r="138" ht="33.6" customHeight="1" s="34"/>
    <row r="139" ht="33.6" customHeight="1" s="34"/>
    <row r="140" ht="33.6" customHeight="1" s="34"/>
    <row r="141" ht="33.6" customHeight="1" s="34"/>
    <row r="142" ht="33.6" customHeight="1" s="34"/>
    <row r="143" ht="33.6" customHeight="1" s="34"/>
    <row r="144" ht="33.6" customHeight="1" s="34"/>
    <row r="145" ht="33.6" customHeight="1" s="34"/>
    <row r="146" ht="33.6" customHeight="1" s="34"/>
    <row r="147" ht="33.6" customHeight="1" s="34"/>
    <row r="148" ht="33.6" customHeight="1" s="34"/>
    <row r="149" ht="33.6" customHeight="1" s="34"/>
    <row r="150" ht="33.6" customHeight="1" s="34"/>
    <row r="151" ht="33.6" customHeight="1" s="34"/>
    <row r="152" ht="33.6" customHeight="1" s="34"/>
    <row r="153" ht="33.6" customHeight="1" s="34"/>
    <row r="154" ht="33.6" customHeight="1" s="34"/>
    <row r="155" ht="33.6" customHeight="1" s="34"/>
    <row r="156" ht="33.6" customHeight="1" s="34"/>
    <row r="157" ht="33.6" customHeight="1" s="34"/>
    <row r="158" ht="33.6" customHeight="1" s="34"/>
    <row r="159" ht="33.6" customHeight="1" s="34"/>
    <row r="160" ht="33.6" customHeight="1" s="34"/>
    <row r="161" ht="33.6" customHeight="1" s="34"/>
    <row r="162" ht="33.6" customHeight="1" s="34"/>
    <row r="163" ht="33.6" customHeight="1" s="34"/>
    <row r="164" ht="33.6" customHeight="1" s="34"/>
    <row r="165" ht="33.6" customHeight="1" s="34"/>
    <row r="166" ht="33.6" customHeight="1" s="34"/>
    <row r="167" ht="33.6" customHeight="1" s="34"/>
    <row r="168" ht="33.6" customHeight="1" s="34"/>
    <row r="169" ht="33.6" customHeight="1" s="34"/>
    <row r="170" ht="33.6" customHeight="1" s="34"/>
    <row r="171" ht="33.6" customHeight="1" s="34"/>
    <row r="172" ht="33.6" customHeight="1" s="34"/>
    <row r="173" ht="33.6" customHeight="1" s="34"/>
    <row r="174" ht="33.6" customHeight="1" s="34"/>
    <row r="175" ht="33.6" customHeight="1" s="34"/>
    <row r="176" ht="33.6" customHeight="1" s="34"/>
    <row r="177" ht="33.6" customHeight="1" s="34"/>
    <row r="178" ht="33.6" customHeight="1" s="34"/>
    <row r="179" ht="33.6" customHeight="1" s="34"/>
    <row r="180" ht="33.6" customHeight="1" s="34"/>
    <row r="181" ht="33.6" customHeight="1" s="34"/>
    <row r="182" ht="33.6" customHeight="1" s="34"/>
    <row r="183" ht="33.6" customHeight="1" s="34"/>
    <row r="184" ht="33.6" customHeight="1" s="34"/>
    <row r="185" ht="33.6" customHeight="1" s="34"/>
    <row r="186" ht="33.6" customHeight="1" s="34"/>
    <row r="187" ht="33.6" customHeight="1" s="34"/>
    <row r="188" ht="33.6" customHeight="1" s="34"/>
    <row r="189" ht="33.6" customHeight="1" s="34"/>
    <row r="190" ht="33.6" customHeight="1" s="34"/>
    <row r="191" ht="33.6" customHeight="1" s="34"/>
    <row r="192" ht="33.6" customHeight="1" s="34"/>
    <row r="193" ht="33.6" customHeight="1" s="34"/>
    <row r="194" ht="33.6" customHeight="1" s="34"/>
    <row r="195" ht="33.6" customHeight="1" s="34"/>
    <row r="196" ht="33.6" customHeight="1" s="34"/>
    <row r="197" ht="33.6" customHeight="1" s="34"/>
    <row r="198" ht="33.6" customHeight="1" s="34"/>
    <row r="199" ht="33.6" customHeight="1" s="34"/>
    <row r="200" ht="33.6" customHeight="1" s="34"/>
    <row r="201" ht="33.6" customHeight="1" s="34"/>
  </sheetData>
  <autoFilter ref="A3:N15"/>
  <mergeCells count="2">
    <mergeCell ref="A2:N2"/>
    <mergeCell ref="A1:N1"/>
  </mergeCells>
  <dataValidations count="3">
    <dataValidation sqref="K4:K500" showDropDown="0" showInputMessage="0" showErrorMessage="0" allowBlank="1" type="list">
      <formula1>"Primario,Revisión,Otro"</formula1>
    </dataValidation>
    <dataValidation sqref="L4:L500" showDropDown="0" showInputMessage="0" showErrorMessage="0" allowBlank="1" type="list">
      <formula1>"Alto,Medio,Bajo"</formula1>
    </dataValidation>
    <dataValidation sqref="N4:N500" showDropDown="0" showInputMessage="0" showErrorMessage="0" allowBlank="1" type="list">
      <formula1>"Sí,No"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K3" sqref="K3"/>
    </sheetView>
  </sheetViews>
  <sheetFormatPr baseColWidth="10" defaultColWidth="8.88671875" defaultRowHeight="14.4"/>
  <cols>
    <col width="12" customWidth="1" style="34" min="1" max="1"/>
    <col width="16" customWidth="1" style="34" min="2" max="2"/>
    <col width="55" customWidth="1" style="34" min="3" max="3"/>
    <col width="12" customWidth="1" style="34" min="4" max="13"/>
    <col width="13" customWidth="1" style="34" min="5" max="5"/>
    <col width="13" customWidth="1" style="34" min="6" max="6"/>
    <col width="13" customWidth="1" style="34" min="7" max="7"/>
    <col width="13" customWidth="1" style="34" min="8" max="8"/>
    <col width="13" customWidth="1" style="34" min="9" max="9"/>
    <col width="13" customWidth="1" style="34" min="10" max="10"/>
    <col width="13" customWidth="1" style="34" min="11" max="11"/>
    <col width="13" customWidth="1" style="34" min="12" max="12"/>
    <col width="13" customWidth="1" style="34" min="13" max="13"/>
    <col width="13" customWidth="1" style="34" min="14" max="14"/>
    <col width="16" customWidth="1" style="34" min="15" max="15"/>
    <col width="55" customWidth="1" style="34" min="16" max="16"/>
  </cols>
  <sheetData>
    <row r="1" ht="17.55" customHeight="1" s="34">
      <c r="A1" s="49" t="inlineStr">
        <is>
          <t>Calidad_articulos</t>
        </is>
      </c>
    </row>
    <row r="2" ht="28.8" customHeight="1" s="34">
      <c r="A2" s="33" t="inlineStr">
        <is>
          <t>Evaluación de calidad de lo que pasó el tamizaje. Q1-Q10 se puntúan 0/1/2; el puntaje total (0-20) y el nivel de calidad se CALCULAN SOLOS.</t>
        </is>
      </c>
    </row>
    <row r="3">
      <c r="A3" s="50" t="inlineStr">
        <is>
          <t>ID</t>
        </is>
      </c>
      <c r="B3" s="50" t="inlineStr">
        <is>
          <t>Base de datos</t>
        </is>
      </c>
      <c r="C3" s="50" t="inlineStr">
        <is>
          <t>Título completo</t>
        </is>
      </c>
      <c r="D3" s="50" t="inlineStr">
        <is>
          <t>Q1</t>
        </is>
      </c>
      <c r="E3" s="50" t="inlineStr">
        <is>
          <t>Q2</t>
        </is>
      </c>
      <c r="F3" s="50" t="inlineStr">
        <is>
          <t>Q3</t>
        </is>
      </c>
      <c r="G3" s="50" t="inlineStr">
        <is>
          <t>Q4</t>
        </is>
      </c>
      <c r="H3" s="50" t="inlineStr">
        <is>
          <t>Q5</t>
        </is>
      </c>
      <c r="I3" s="50" t="inlineStr">
        <is>
          <t>Q6</t>
        </is>
      </c>
      <c r="J3" s="50" t="inlineStr">
        <is>
          <t>Q7</t>
        </is>
      </c>
      <c r="K3" s="50" t="inlineStr">
        <is>
          <t>Q8</t>
        </is>
      </c>
      <c r="L3" s="50" t="inlineStr">
        <is>
          <t>Q9</t>
        </is>
      </c>
      <c r="M3" s="50" t="inlineStr">
        <is>
          <t>Q10</t>
        </is>
      </c>
      <c r="N3" s="50" t="inlineStr">
        <is>
          <t>Puntaje total</t>
        </is>
      </c>
      <c r="O3" s="50" t="inlineStr">
        <is>
          <t>Nivel de calidad</t>
        </is>
      </c>
      <c r="P3" s="50" t="inlineStr">
        <is>
          <t>Observaciones de calidad</t>
        </is>
      </c>
    </row>
    <row r="4" ht="33.6" customHeight="1" s="34">
      <c r="A4" s="51" t="inlineStr">
        <is>
          <t>H0001</t>
        </is>
      </c>
      <c r="B4" s="51" t="inlineStr">
        <is>
          <t>IEEE Xplore</t>
        </is>
      </c>
      <c r="C4" s="51" t="inlineStr">
        <is>
          <t>Unified Approach for Avocado Leaf Disease Classification: CNN-SVM Fusion</t>
        </is>
      </c>
      <c r="D4" s="51" t="n">
        <v>2</v>
      </c>
      <c r="E4" s="51" t="n">
        <v>2</v>
      </c>
      <c r="F4" s="51" t="n">
        <v>2</v>
      </c>
      <c r="G4" s="51" t="n">
        <v>2</v>
      </c>
      <c r="H4" s="51" t="n">
        <v>2</v>
      </c>
      <c r="I4" s="51" t="n">
        <v>1</v>
      </c>
      <c r="J4" s="51" t="n">
        <v>2</v>
      </c>
      <c r="K4" s="51" t="n">
        <v>1</v>
      </c>
      <c r="L4" s="51" t="n">
        <v>2</v>
      </c>
      <c r="M4" s="51" t="n">
        <v>2</v>
      </c>
      <c r="N4" s="51">
        <f>IF(COUNT(D4:M4)=0,"",SUM(D4:M4))</f>
        <v/>
      </c>
      <c r="O4" s="51">
        <f>IF(N4="","",IF(N4&gt;=16,"Alta calidad",IF(N4&gt;=11,"Media calidad","Baja calidad")))</f>
        <v/>
      </c>
      <c r="P4" s="51" t="inlineStr">
        <is>
          <t>IA aplicada a hojas de aguacate</t>
        </is>
      </c>
    </row>
    <row r="5" ht="33.6" customHeight="1" s="34">
      <c r="A5" s="51" t="inlineStr">
        <is>
          <t>H0002</t>
        </is>
      </c>
      <c r="B5" s="51" t="inlineStr">
        <is>
          <t>IEEE Xplore</t>
        </is>
      </c>
      <c r="C5" s="51" t="inlineStr">
        <is>
          <t>Plant Leaf Disease Detection, Classification, and Diagnosis Using Computer Vision and Artificial Intelligence: A Review</t>
        </is>
      </c>
      <c r="D5" s="51" t="n">
        <v>2</v>
      </c>
      <c r="E5" s="51" t="n">
        <v>1</v>
      </c>
      <c r="F5" s="51" t="n">
        <v>2</v>
      </c>
      <c r="G5" s="51" t="n">
        <v>1</v>
      </c>
      <c r="H5" s="51" t="n">
        <v>2</v>
      </c>
      <c r="I5" s="51" t="n">
        <v>2</v>
      </c>
      <c r="J5" s="51" t="n">
        <v>2</v>
      </c>
      <c r="K5" s="51" t="n">
        <v>1</v>
      </c>
      <c r="L5" s="51" t="n">
        <v>2</v>
      </c>
      <c r="M5" s="51" t="n">
        <v>2</v>
      </c>
      <c r="N5" s="51">
        <f>IF(COUNT(D5:M5)=0,"",SUM(D5:M5))</f>
        <v/>
      </c>
      <c r="O5" s="51">
        <f>IF(N5="","",IF(N5&gt;=16,"Alta calidad",IF(N5&gt;=11,"Media calidad","Baja calidad")))</f>
        <v/>
      </c>
      <c r="P5" s="51" t="inlineStr">
        <is>
          <t>Estado del arte IA foliar</t>
        </is>
      </c>
    </row>
    <row r="6" ht="33.6" customHeight="1" s="34">
      <c r="A6" s="51" t="inlineStr">
        <is>
          <t>H0003</t>
        </is>
      </c>
      <c r="B6" s="51" t="inlineStr">
        <is>
          <t>IEEE Xplore</t>
        </is>
      </c>
      <c r="C6" s="51" t="inlineStr">
        <is>
          <t>Real-Time Detection and Identification of Plant Leaf Diseases using YOLOv4-tiny</t>
        </is>
      </c>
      <c r="D6" s="51" t="n">
        <v>2</v>
      </c>
      <c r="E6" s="51" t="n">
        <v>1</v>
      </c>
      <c r="F6" s="51" t="n">
        <v>2</v>
      </c>
      <c r="G6" s="51" t="n">
        <v>1</v>
      </c>
      <c r="H6" s="51" t="n">
        <v>2</v>
      </c>
      <c r="I6" s="51" t="n">
        <v>1</v>
      </c>
      <c r="J6" s="51" t="n">
        <v>2</v>
      </c>
      <c r="K6" s="51" t="n">
        <v>1</v>
      </c>
      <c r="L6" s="51" t="n">
        <v>2</v>
      </c>
      <c r="M6" s="51" t="n">
        <v>2</v>
      </c>
      <c r="N6" s="51">
        <f>IF(COUNT(D6:M6)=0,"",SUM(D6:M6))</f>
        <v/>
      </c>
      <c r="O6" s="51">
        <f>IF(N6="","",IF(N6&gt;=16,"Alta calidad",IF(N6&gt;=11,"Media calidad","Baja calidad")))</f>
        <v/>
      </c>
      <c r="P6" s="51" t="inlineStr">
        <is>
          <t>YOLO para enfermedades foliares</t>
        </is>
      </c>
    </row>
    <row r="7" ht="33.6" customHeight="1" s="34">
      <c r="A7" s="51" t="inlineStr">
        <is>
          <t>H0004</t>
        </is>
      </c>
      <c r="B7" s="51" t="inlineStr">
        <is>
          <t>Scientific Reports</t>
        </is>
      </c>
      <c r="C7" s="51" t="inlineStr">
        <is>
          <t>Spectrally optimised YOLOv10s-SeqOpt framework for real-time UAV-based early detection of avocado foliar diseases in Indian orchards</t>
        </is>
      </c>
      <c r="D7" s="51" t="n">
        <v>2</v>
      </c>
      <c r="E7" s="51" t="n">
        <v>2</v>
      </c>
      <c r="F7" s="51" t="n">
        <v>2</v>
      </c>
      <c r="G7" s="51" t="n">
        <v>2</v>
      </c>
      <c r="H7" s="51" t="n">
        <v>2</v>
      </c>
      <c r="I7" s="51" t="n">
        <v>2</v>
      </c>
      <c r="J7" s="51" t="n">
        <v>2</v>
      </c>
      <c r="K7" s="51" t="n">
        <v>2</v>
      </c>
      <c r="L7" s="51" t="n">
        <v>2</v>
      </c>
      <c r="M7" s="51" t="n">
        <v>2</v>
      </c>
      <c r="N7" s="51">
        <f>IF(COUNT(D7:M7)=0,"",SUM(D7:M7))</f>
        <v/>
      </c>
      <c r="O7" s="51">
        <f>IF(N7="","",IF(N7&gt;=16,"Alta calidad",IF(N7&gt;=11,"Media calidad","Baja calidad")))</f>
        <v/>
      </c>
      <c r="P7" s="51" t="inlineStr">
        <is>
          <t>UAV e IA en aguacate</t>
        </is>
      </c>
    </row>
    <row r="8" ht="33.6" customHeight="1" s="34">
      <c r="A8" s="51" t="inlineStr">
        <is>
          <t>H0005</t>
        </is>
      </c>
      <c r="B8" s="51" t="inlineStr">
        <is>
          <t>AgriEngineering</t>
        </is>
      </c>
      <c r="C8" s="51" t="inlineStr">
        <is>
          <t>Spatial Mapping of Avocado Anthracnose Severity Using UAV-Derived Vegetation Indices in Amazonas, Peru</t>
        </is>
      </c>
      <c r="D8" s="51" t="n">
        <v>2</v>
      </c>
      <c r="E8" s="51" t="n">
        <v>2</v>
      </c>
      <c r="F8" s="51" t="n">
        <v>2</v>
      </c>
      <c r="G8" s="51" t="n">
        <v>2</v>
      </c>
      <c r="H8" s="51" t="n">
        <v>2</v>
      </c>
      <c r="I8" s="51" t="n">
        <v>2</v>
      </c>
      <c r="J8" s="51" t="n">
        <v>2</v>
      </c>
      <c r="K8" s="51" t="n">
        <v>2</v>
      </c>
      <c r="L8" s="51" t="n">
        <v>2</v>
      </c>
      <c r="M8" s="51" t="n">
        <v>2</v>
      </c>
      <c r="N8" s="51">
        <f>IF(COUNT(D8:M8)=0,"",SUM(D8:M8))</f>
        <v/>
      </c>
      <c r="O8" s="51">
        <f>IF(N8="","",IF(N8&gt;=16,"Alta calidad",IF(N8&gt;=11,"Media calidad","Baja calidad")))</f>
        <v/>
      </c>
      <c r="P8" s="51" t="inlineStr">
        <is>
          <t>Antracnosis y UAV</t>
        </is>
      </c>
    </row>
    <row r="9" ht="33.6" customHeight="1" s="34">
      <c r="A9" s="51" t="inlineStr">
        <is>
          <t>H0006</t>
        </is>
      </c>
      <c r="B9" s="51" t="inlineStr">
        <is>
          <t>International Journal of Plant Biology</t>
        </is>
      </c>
      <c r="C9" s="51" t="inlineStr">
        <is>
          <t>Colletotrichum fructicola Causes Necrotic Leaf Lesions in Avocado (Persea americana) in Amazonas, Peru: First Record and In Vitro Control Using Piper Essential Oils</t>
        </is>
      </c>
      <c r="D9" s="51" t="n">
        <v>2</v>
      </c>
      <c r="E9" s="51" t="n">
        <v>2</v>
      </c>
      <c r="F9" s="51" t="n">
        <v>2</v>
      </c>
      <c r="G9" s="51" t="n">
        <v>2</v>
      </c>
      <c r="H9" s="51" t="n">
        <v>2</v>
      </c>
      <c r="I9" s="51" t="n">
        <v>2</v>
      </c>
      <c r="J9" s="51" t="n">
        <v>1</v>
      </c>
      <c r="K9" s="51" t="n">
        <v>2</v>
      </c>
      <c r="L9" s="51" t="n">
        <v>2</v>
      </c>
      <c r="M9" s="51" t="n">
        <v>2</v>
      </c>
      <c r="N9" s="51">
        <f>IF(COUNT(D9:M9)=0,"",SUM(D9:M9))</f>
        <v/>
      </c>
      <c r="O9" s="51">
        <f>IF(N9="","",IF(N9&gt;=16,"Alta calidad",IF(N9&gt;=11,"Media calidad","Baja calidad")))</f>
        <v/>
      </c>
      <c r="P9" s="51" t="inlineStr">
        <is>
          <t>Lesiones foliares necroticas</t>
        </is>
      </c>
    </row>
    <row r="10" ht="33.6" customHeight="1" s="34">
      <c r="A10" s="51" t="inlineStr">
        <is>
          <t>H0007</t>
        </is>
      </c>
      <c r="B10" s="51" t="inlineStr">
        <is>
          <t>Revista Colombiana de Ciencias Hortícolas</t>
        </is>
      </c>
      <c r="C10" s="51" t="inlineStr">
        <is>
          <t>Validation of black spot management strategies in avocado crops in northern Tolima (Colombia)</t>
        </is>
      </c>
      <c r="D10" s="51" t="n">
        <v>2</v>
      </c>
      <c r="E10" s="51" t="n">
        <v>2</v>
      </c>
      <c r="F10" s="51" t="n">
        <v>2</v>
      </c>
      <c r="G10" s="51" t="n">
        <v>2</v>
      </c>
      <c r="H10" s="51" t="n">
        <v>2</v>
      </c>
      <c r="I10" s="51" t="n">
        <v>2</v>
      </c>
      <c r="J10" s="51" t="n">
        <v>1</v>
      </c>
      <c r="K10" s="51" t="n">
        <v>2</v>
      </c>
      <c r="L10" s="51" t="n">
        <v>2</v>
      </c>
      <c r="M10" s="51" t="n">
        <v>2</v>
      </c>
      <c r="N10" s="51">
        <f>IF(COUNT(D10:M10)=0,"",SUM(D10:M10))</f>
        <v/>
      </c>
      <c r="O10" s="51">
        <f>IF(N10="","",IF(N10&gt;=16,"Alta calidad",IF(N10&gt;=11,"Media calidad","Baja calidad")))</f>
        <v/>
      </c>
      <c r="P10" s="51" t="inlineStr">
        <is>
          <t>Cercospora y mancha negra</t>
        </is>
      </c>
    </row>
    <row r="11" ht="33.6" customHeight="1" s="34">
      <c r="A11" s="51" t="inlineStr">
        <is>
          <t>H0008</t>
        </is>
      </c>
      <c r="B11" s="51" t="inlineStr">
        <is>
          <t>Journal of Sol-Gel Science and Technology</t>
        </is>
      </c>
      <c r="C11" s="51" t="inlineStr">
        <is>
          <t>Silica-based nanomaterials for the control of Trioza anceps: Laboratory bioassays and preliminary field observations</t>
        </is>
      </c>
      <c r="D11" s="51" t="n">
        <v>2</v>
      </c>
      <c r="E11" s="51" t="n">
        <v>2</v>
      </c>
      <c r="F11" s="51" t="n">
        <v>2</v>
      </c>
      <c r="G11" s="51" t="n">
        <v>2</v>
      </c>
      <c r="H11" s="51" t="n">
        <v>2</v>
      </c>
      <c r="I11" s="51" t="n">
        <v>2</v>
      </c>
      <c r="J11" s="51" t="n">
        <v>1</v>
      </c>
      <c r="K11" s="51" t="n">
        <v>2</v>
      </c>
      <c r="L11" s="51" t="n">
        <v>2</v>
      </c>
      <c r="M11" s="51" t="n">
        <v>2</v>
      </c>
      <c r="N11" s="51">
        <f>IF(COUNT(D11:M11)=0,"",SUM(D11:M11))</f>
        <v/>
      </c>
      <c r="O11" s="51">
        <f>IF(N11="","",IF(N11&gt;=16,"Alta calidad",IF(N11&gt;=11,"Media calidad","Baja calidad")))</f>
        <v/>
      </c>
      <c r="P11" s="51" t="inlineStr">
        <is>
          <t>Agallas foliares</t>
        </is>
      </c>
    </row>
    <row r="12" ht="33.6" customHeight="1" s="34">
      <c r="A12" s="51" t="inlineStr">
        <is>
          <t>H0009</t>
        </is>
      </c>
      <c r="B12" s="51" t="inlineStr">
        <is>
          <t>Journal of Economic Entomology</t>
        </is>
      </c>
      <c r="C12" s="51" t="inlineStr">
        <is>
          <t>Biocontrol Potential of Neoseiulus californicus Against Oligonychus punicae in Avocado</t>
        </is>
      </c>
      <c r="D12" s="51" t="n">
        <v>2</v>
      </c>
      <c r="E12" s="51" t="n">
        <v>2</v>
      </c>
      <c r="F12" s="51" t="n">
        <v>1</v>
      </c>
      <c r="G12" s="51" t="n">
        <v>2</v>
      </c>
      <c r="H12" s="51" t="n">
        <v>2</v>
      </c>
      <c r="I12" s="51" t="n">
        <v>2</v>
      </c>
      <c r="J12" s="51" t="n">
        <v>1</v>
      </c>
      <c r="K12" s="51" t="n">
        <v>2</v>
      </c>
      <c r="L12" s="51" t="n">
        <v>2</v>
      </c>
      <c r="M12" s="51" t="n">
        <v>2</v>
      </c>
      <c r="N12" s="51">
        <f>IF(COUNT(D12:M12)=0,"",SUM(D12:M12))</f>
        <v/>
      </c>
      <c r="O12" s="51">
        <f>IF(N12="","",IF(N12&gt;=16,"Alta calidad",IF(N12&gt;=11,"Media calidad","Baja calidad")))</f>
        <v/>
      </c>
      <c r="P12" s="51" t="inlineStr">
        <is>
          <t>Araña roja y acaros</t>
        </is>
      </c>
    </row>
    <row r="13" ht="33.6" customHeight="1" s="34">
      <c r="A13" s="51" t="inlineStr">
        <is>
          <t>H0010</t>
        </is>
      </c>
      <c r="B13" s="51" t="inlineStr">
        <is>
          <t>Plant Health Progress</t>
        </is>
      </c>
      <c r="C13" s="51" t="inlineStr">
        <is>
          <t>Avocado Scab Caused by Elsinoe perseae: A Diagnostic Guide</t>
        </is>
      </c>
      <c r="D13" s="51" t="n">
        <v>2</v>
      </c>
      <c r="E13" s="51" t="n">
        <v>2</v>
      </c>
      <c r="F13" s="51" t="n">
        <v>2</v>
      </c>
      <c r="G13" s="51" t="n">
        <v>2</v>
      </c>
      <c r="H13" s="51" t="n">
        <v>2</v>
      </c>
      <c r="I13" s="51" t="n">
        <v>1</v>
      </c>
      <c r="J13" s="51" t="n">
        <v>1</v>
      </c>
      <c r="K13" s="51" t="n">
        <v>2</v>
      </c>
      <c r="L13" s="51" t="n">
        <v>2</v>
      </c>
      <c r="M13" s="51" t="n">
        <v>2</v>
      </c>
      <c r="N13" s="51">
        <f>IF(COUNT(D13:M13)=0,"",SUM(D13:M13))</f>
        <v/>
      </c>
      <c r="O13" s="51">
        <f>IF(N13="","",IF(N13&gt;=16,"Alta calidad",IF(N13&gt;=11,"Media calidad","Baja calidad")))</f>
        <v/>
      </c>
      <c r="P13" s="51" t="inlineStr">
        <is>
          <t>Roña</t>
        </is>
      </c>
    </row>
    <row r="14" ht="33.6" customHeight="1" s="34">
      <c r="A14" s="51" t="inlineStr">
        <is>
          <t>H0011</t>
        </is>
      </c>
      <c r="B14" s="51" t="inlineStr">
        <is>
          <t>Journal</t>
        </is>
      </c>
      <c r="C14" s="51" t="inlineStr">
        <is>
          <t>Real-time hass avocado ripeness detection using close-range UAV imagery and YOLO-based deep learning</t>
        </is>
      </c>
      <c r="D14" s="51" t="n">
        <v>2</v>
      </c>
      <c r="E14" s="51" t="n">
        <v>1</v>
      </c>
      <c r="F14" s="51" t="n">
        <v>1</v>
      </c>
      <c r="G14" s="51" t="n">
        <v>2</v>
      </c>
      <c r="H14" s="51" t="n">
        <v>2</v>
      </c>
      <c r="I14" s="51" t="n">
        <v>2</v>
      </c>
      <c r="J14" s="51" t="n">
        <v>2</v>
      </c>
      <c r="K14" s="51" t="n">
        <v>2</v>
      </c>
      <c r="L14" s="51" t="n">
        <v>2</v>
      </c>
      <c r="M14" s="51" t="n">
        <v>2</v>
      </c>
      <c r="N14" s="51">
        <f>IF(COUNT(D14:M14)=0,"",SUM(D14:M14))</f>
        <v/>
      </c>
      <c r="O14" s="51">
        <f>IF(N14="","",IF(N14&gt;=16,"Alta calidad",IF(N14&gt;=11,"Media calidad","Baja calidad")))</f>
        <v/>
      </c>
      <c r="P14" s="51" t="inlineStr">
        <is>
          <t>YOLO y UAV en aguacate</t>
        </is>
      </c>
    </row>
    <row r="15" ht="33.6" customHeight="1" s="34">
      <c r="A15" s="51" t="inlineStr">
        <is>
          <t>H0012</t>
        </is>
      </c>
      <c r="B15" s="51" t="inlineStr">
        <is>
          <t>Scientific Reports</t>
        </is>
      </c>
      <c r="C15" s="51" t="inlineStr">
        <is>
          <t>Simultaneously prediction of multiple wheat leaf phenotypes using hyperspectral imaging with multi-task machine and deep learning</t>
        </is>
      </c>
      <c r="D15" s="51" t="n">
        <v>2</v>
      </c>
      <c r="E15" s="51" t="n">
        <v>1</v>
      </c>
      <c r="F15" s="51" t="n">
        <v>1</v>
      </c>
      <c r="G15" s="51" t="n">
        <v>1</v>
      </c>
      <c r="H15" s="51" t="n">
        <v>2</v>
      </c>
      <c r="I15" s="51" t="n">
        <v>2</v>
      </c>
      <c r="J15" s="51" t="n">
        <v>2</v>
      </c>
      <c r="K15" s="51" t="n">
        <v>1</v>
      </c>
      <c r="L15" s="51" t="n">
        <v>2</v>
      </c>
      <c r="M15" s="51" t="n">
        <v>2</v>
      </c>
      <c r="N15" s="51">
        <f>IF(COUNT(D15:M15)=0,"",SUM(D15:M15))</f>
        <v/>
      </c>
      <c r="O15" s="51">
        <f>IF(N15="","",IF(N15&gt;=16,"Alta calidad",IF(N15&gt;=11,"Media calidad","Baja calidad")))</f>
        <v/>
      </c>
      <c r="P15" s="51" t="inlineStr">
        <is>
          <t>Cultivos comparativos</t>
        </is>
      </c>
    </row>
    <row r="16" ht="33.6" customHeight="1" s="34"/>
    <row r="17" ht="33.6" customHeight="1" s="34"/>
    <row r="18" ht="33.6" customHeight="1" s="34"/>
    <row r="19" ht="33.6" customHeight="1" s="34"/>
    <row r="20" ht="33.6" customHeight="1" s="34"/>
    <row r="21" ht="33.6" customHeight="1" s="34"/>
    <row r="22" ht="33.6" customHeight="1" s="34"/>
    <row r="23" ht="33.6" customHeight="1" s="34"/>
    <row r="24" ht="33.6" customHeight="1" s="34"/>
    <row r="25" ht="33.6" customHeight="1" s="34"/>
    <row r="26" ht="33.6" customHeight="1" s="34"/>
    <row r="27" ht="33.6" customHeight="1" s="34"/>
    <row r="28" ht="33.6" customHeight="1" s="34"/>
    <row r="29" ht="33.6" customHeight="1" s="34"/>
    <row r="30" ht="33.6" customHeight="1" s="34"/>
    <row r="31" ht="33.6" customHeight="1" s="34"/>
    <row r="32" ht="33.6" customHeight="1" s="34"/>
    <row r="33" ht="33.6" customHeight="1" s="34"/>
    <row r="34" ht="33.6" customHeight="1" s="34"/>
    <row r="35" ht="33.6" customHeight="1" s="34"/>
    <row r="36" ht="33.6" customHeight="1" s="34"/>
    <row r="37" ht="33.6" customHeight="1" s="34"/>
    <row r="38" ht="33.6" customHeight="1" s="34"/>
    <row r="39" ht="33.6" customHeight="1" s="34"/>
    <row r="40" ht="33.6" customHeight="1" s="34"/>
    <row r="41" ht="33.6" customHeight="1" s="34"/>
    <row r="42" ht="33.6" customHeight="1" s="34"/>
    <row r="43" ht="33.6" customHeight="1" s="34"/>
    <row r="44" ht="33.6" customHeight="1" s="34"/>
    <row r="45" ht="33.6" customHeight="1" s="34"/>
    <row r="46" ht="33.6" customHeight="1" s="34"/>
    <row r="47" ht="33.6" customHeight="1" s="34"/>
    <row r="48" ht="33.6" customHeight="1" s="34"/>
    <row r="49" ht="33.6" customHeight="1" s="34"/>
    <row r="50" ht="33.6" customHeight="1" s="34"/>
    <row r="51" ht="33.6" customHeight="1" s="34"/>
    <row r="52" ht="33.6" customHeight="1" s="34"/>
    <row r="53" ht="33.6" customHeight="1" s="34"/>
    <row r="54" ht="33.6" customHeight="1" s="34"/>
    <row r="55" ht="33.6" customHeight="1" s="34"/>
    <row r="56" ht="33.6" customHeight="1" s="34"/>
    <row r="57" ht="33.6" customHeight="1" s="34"/>
    <row r="58" ht="33.6" customHeight="1" s="34"/>
    <row r="59" ht="33.6" customHeight="1" s="34"/>
    <row r="60" ht="33.6" customHeight="1" s="34"/>
    <row r="61" ht="33.6" customHeight="1" s="34"/>
    <row r="62" ht="33.6" customHeight="1" s="34"/>
    <row r="63" ht="33.6" customHeight="1" s="34"/>
    <row r="64" ht="33.6" customHeight="1" s="34"/>
    <row r="65" ht="33.6" customHeight="1" s="34"/>
    <row r="66" ht="33.6" customHeight="1" s="34"/>
    <row r="67" ht="33.6" customHeight="1" s="34"/>
    <row r="68" ht="33.6" customHeight="1" s="34"/>
    <row r="69" ht="33.6" customHeight="1" s="34"/>
    <row r="70" ht="33.6" customHeight="1" s="34"/>
    <row r="71" ht="33.6" customHeight="1" s="34"/>
    <row r="72" ht="33.6" customHeight="1" s="34"/>
    <row r="73" ht="33.6" customHeight="1" s="34"/>
    <row r="74" ht="33.6" customHeight="1" s="34"/>
    <row r="75" ht="33.6" customHeight="1" s="34"/>
    <row r="76" ht="33.6" customHeight="1" s="34"/>
    <row r="77" ht="33.6" customHeight="1" s="34"/>
    <row r="78" ht="33.6" customHeight="1" s="34"/>
    <row r="79" ht="33.6" customHeight="1" s="34"/>
    <row r="80" ht="33.6" customHeight="1" s="34"/>
    <row r="81" ht="33.6" customHeight="1" s="34"/>
    <row r="82" ht="33.6" customHeight="1" s="34"/>
    <row r="83" ht="33.6" customHeight="1" s="34"/>
    <row r="84" ht="33.6" customHeight="1" s="34"/>
    <row r="85" ht="33.6" customHeight="1" s="34"/>
    <row r="86" ht="33.6" customHeight="1" s="34"/>
    <row r="87" ht="33.6" customHeight="1" s="34"/>
    <row r="88" ht="33.6" customHeight="1" s="34"/>
    <row r="89" ht="33.6" customHeight="1" s="34"/>
    <row r="90" ht="33.6" customHeight="1" s="34"/>
    <row r="91" ht="33.6" customHeight="1" s="34"/>
    <row r="92" ht="33.6" customHeight="1" s="34"/>
    <row r="93" ht="33.6" customHeight="1" s="34"/>
    <row r="94" ht="33.6" customHeight="1" s="34"/>
    <row r="95" ht="33.6" customHeight="1" s="34"/>
    <row r="96" ht="33.6" customHeight="1" s="34"/>
    <row r="97" ht="33.6" customHeight="1" s="34"/>
    <row r="98" ht="33.6" customHeight="1" s="34"/>
    <row r="99" ht="33.6" customHeight="1" s="34"/>
    <row r="100" ht="33.6" customHeight="1" s="34"/>
    <row r="101" ht="33.6" customHeight="1" s="34"/>
    <row r="102" ht="33.6" customHeight="1" s="34"/>
    <row r="103" ht="33.6" customHeight="1" s="34"/>
    <row r="104" ht="33.6" customHeight="1" s="34"/>
    <row r="105" ht="33.6" customHeight="1" s="34"/>
    <row r="106" ht="33.6" customHeight="1" s="34"/>
    <row r="107" ht="33.6" customHeight="1" s="34"/>
    <row r="108" ht="33.6" customHeight="1" s="34"/>
    <row r="109" ht="33.6" customHeight="1" s="34"/>
    <row r="110" ht="33.6" customHeight="1" s="34"/>
    <row r="111" ht="33.6" customHeight="1" s="34"/>
    <row r="112" ht="33.6" customHeight="1" s="34"/>
    <row r="113" ht="33.6" customHeight="1" s="34"/>
    <row r="114" ht="33.6" customHeight="1" s="34"/>
    <row r="115" ht="33.6" customHeight="1" s="34"/>
    <row r="116" ht="33.6" customHeight="1" s="34"/>
    <row r="117" ht="33.6" customHeight="1" s="34"/>
    <row r="118" ht="33.6" customHeight="1" s="34"/>
    <row r="119" ht="33.6" customHeight="1" s="34"/>
    <row r="120" ht="33.6" customHeight="1" s="34"/>
    <row r="121" ht="33.6" customHeight="1" s="34"/>
    <row r="122" ht="33.6" customHeight="1" s="34"/>
    <row r="123" ht="33.6" customHeight="1" s="34"/>
    <row r="124" ht="33.6" customHeight="1" s="34"/>
    <row r="125" ht="33.6" customHeight="1" s="34"/>
    <row r="126" ht="33.6" customHeight="1" s="34"/>
    <row r="127" ht="33.6" customHeight="1" s="34"/>
    <row r="128" ht="33.6" customHeight="1" s="34"/>
    <row r="129" ht="33.6" customHeight="1" s="34"/>
    <row r="130" ht="33.6" customHeight="1" s="34"/>
    <row r="131" ht="33.6" customHeight="1" s="34"/>
    <row r="132" ht="33.6" customHeight="1" s="34"/>
    <row r="133" ht="33.6" customHeight="1" s="34"/>
    <row r="134" ht="33.6" customHeight="1" s="34"/>
    <row r="135" ht="33.6" customHeight="1" s="34"/>
    <row r="136" ht="33.6" customHeight="1" s="34"/>
    <row r="137" ht="33.6" customHeight="1" s="34"/>
    <row r="138" ht="33.6" customHeight="1" s="34"/>
    <row r="139" ht="33.6" customHeight="1" s="34"/>
    <row r="140" ht="33.6" customHeight="1" s="34"/>
    <row r="141" ht="33.6" customHeight="1" s="34"/>
    <row r="142" ht="33.6" customHeight="1" s="34"/>
    <row r="143" ht="33.6" customHeight="1" s="34"/>
    <row r="144" ht="33.6" customHeight="1" s="34"/>
    <row r="145" ht="33.6" customHeight="1" s="34"/>
    <row r="146" ht="33.6" customHeight="1" s="34"/>
    <row r="147" ht="33.6" customHeight="1" s="34"/>
    <row r="148" ht="33.6" customHeight="1" s="34"/>
    <row r="149" ht="33.6" customHeight="1" s="34"/>
    <row r="150" ht="33.6" customHeight="1" s="34"/>
    <row r="151" ht="33.6" customHeight="1" s="34"/>
    <row r="152" ht="33.6" customHeight="1" s="34"/>
    <row r="153" ht="33.6" customHeight="1" s="34"/>
    <row r="154" ht="33.6" customHeight="1" s="34"/>
    <row r="155" ht="33.6" customHeight="1" s="34"/>
    <row r="156" ht="33.6" customHeight="1" s="34"/>
    <row r="157" ht="33.6" customHeight="1" s="34"/>
    <row r="158" ht="33.6" customHeight="1" s="34"/>
    <row r="159" ht="33.6" customHeight="1" s="34"/>
    <row r="160" ht="33.6" customHeight="1" s="34"/>
    <row r="161" ht="33.6" customHeight="1" s="34"/>
    <row r="162" ht="33.6" customHeight="1" s="34"/>
    <row r="163" ht="33.6" customHeight="1" s="34"/>
    <row r="164" ht="33.6" customHeight="1" s="34"/>
    <row r="165" ht="33.6" customHeight="1" s="34"/>
    <row r="166" ht="33.6" customHeight="1" s="34"/>
    <row r="167" ht="33.6" customHeight="1" s="34"/>
    <row r="168" ht="33.6" customHeight="1" s="34"/>
    <row r="169" ht="33.6" customHeight="1" s="34"/>
    <row r="170" ht="33.6" customHeight="1" s="34"/>
    <row r="171" ht="33.6" customHeight="1" s="34"/>
    <row r="172" ht="33.6" customHeight="1" s="34"/>
    <row r="173" ht="33.6" customHeight="1" s="34"/>
    <row r="174" ht="33.6" customHeight="1" s="34"/>
    <row r="175" ht="33.6" customHeight="1" s="34"/>
    <row r="176" ht="33.6" customHeight="1" s="34"/>
    <row r="177" ht="33.6" customHeight="1" s="34"/>
    <row r="178" ht="33.6" customHeight="1" s="34"/>
    <row r="179" ht="33.6" customHeight="1" s="34"/>
    <row r="180" ht="33.6" customHeight="1" s="34"/>
    <row r="181" ht="33.6" customHeight="1" s="34"/>
    <row r="182" ht="33.6" customHeight="1" s="34"/>
    <row r="183" ht="33.6" customHeight="1" s="34"/>
    <row r="184" ht="33.6" customHeight="1" s="34"/>
    <row r="185" ht="33.6" customHeight="1" s="34"/>
    <row r="186" ht="33.6" customHeight="1" s="34"/>
    <row r="187" ht="33.6" customHeight="1" s="34"/>
    <row r="188" ht="33.6" customHeight="1" s="34"/>
    <row r="189" ht="33.6" customHeight="1" s="34"/>
    <row r="190" ht="33.6" customHeight="1" s="34"/>
    <row r="191" ht="33.6" customHeight="1" s="34"/>
    <row r="192" ht="33.6" customHeight="1" s="34"/>
    <row r="193" ht="33.6" customHeight="1" s="34"/>
    <row r="194" ht="33.6" customHeight="1" s="34"/>
    <row r="195" ht="33.6" customHeight="1" s="34"/>
    <row r="196" ht="33.6" customHeight="1" s="34"/>
    <row r="197" ht="33.6" customHeight="1" s="34"/>
    <row r="198" ht="33.6" customHeight="1" s="34"/>
    <row r="199" ht="33.6" customHeight="1" s="34"/>
    <row r="200" ht="33.6" customHeight="1" s="34"/>
    <row r="201" ht="33.6" customHeight="1" s="34"/>
  </sheetData>
  <autoFilter ref="A3:P15"/>
  <mergeCells count="2">
    <mergeCell ref="A1:P1"/>
    <mergeCell ref="A2:P2"/>
  </mergeCells>
  <conditionalFormatting sqref="N4:N201">
    <cfRule type="cellIs" priority="1" operator="greaterThanOrEqual" dxfId="2">
      <formula>16</formula>
    </cfRule>
    <cfRule type="cellIs" priority="2" operator="between" dxfId="1">
      <formula>10</formula>
      <formula>15</formula>
    </cfRule>
    <cfRule type="cellIs" priority="3" operator="lessThan" dxfId="0">
      <formula>10</formula>
    </cfRule>
  </conditionalFormatting>
  <dataValidations count="1">
    <dataValidation sqref="D4:M303" showDropDown="0" showInputMessage="0" showErrorMessage="0" allowBlank="1" type="list">
      <formula1>"0,1,2"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E38" sqref="E38"/>
    </sheetView>
  </sheetViews>
  <sheetFormatPr baseColWidth="10" defaultColWidth="8.88671875" defaultRowHeight="14.4"/>
  <cols>
    <col width="12" customWidth="1" style="34" min="1" max="1"/>
    <col width="16" customWidth="1" style="34" min="2" max="2"/>
    <col width="55" customWidth="1" style="34" min="3" max="3"/>
    <col width="12" customWidth="1" style="34" min="4" max="4"/>
    <col width="24" customWidth="1" style="34" min="5" max="6"/>
    <col width="13" customWidth="1" style="34" min="6" max="6"/>
    <col width="15" customWidth="1" style="34" min="7" max="7"/>
    <col width="55" customWidth="1" style="34" min="8" max="12"/>
    <col width="13" customWidth="1" style="34" min="9" max="9"/>
    <col width="13" customWidth="1" style="34" min="10" max="10"/>
    <col width="13" customWidth="1" style="34" min="11" max="11"/>
    <col width="13" customWidth="1" style="34" min="12" max="12"/>
    <col width="55" customWidth="1" style="34" min="13" max="13"/>
    <col width="55" customWidth="1" style="34" min="14" max="14"/>
    <col width="35" customWidth="1" style="34" min="15" max="15"/>
    <col width="16" customWidth="1" style="34" min="16" max="16"/>
    <col width="34" customWidth="1" style="34" min="17" max="17"/>
    <col width="55" customWidth="1" style="34" min="18" max="18"/>
  </cols>
  <sheetData>
    <row r="1" ht="17.55" customHeight="1" s="34">
      <c r="A1" s="49" t="inlineStr">
        <is>
          <t>Articulos_finales</t>
        </is>
      </c>
    </row>
    <row r="2" ht="28.8" customHeight="1" s="34">
      <c r="A2" s="33" t="inlineStr">
        <is>
          <t>Selección final razonada: analiza el aporte de cada artículo y decide Incluir o Reserva, con su justificación.</t>
        </is>
      </c>
    </row>
    <row r="3">
      <c r="A3" s="50" t="inlineStr">
        <is>
          <t>ID</t>
        </is>
      </c>
      <c r="B3" s="50" t="inlineStr">
        <is>
          <t>Base de datos</t>
        </is>
      </c>
      <c r="C3" s="50" t="inlineStr">
        <is>
          <t>Título completo</t>
        </is>
      </c>
      <c r="D3" s="50" t="inlineStr">
        <is>
          <t>Año</t>
        </is>
      </c>
      <c r="E3" s="50" t="inlineStr">
        <is>
          <t>Autores</t>
        </is>
      </c>
      <c r="F3" s="50" t="inlineStr">
        <is>
          <t>DOI</t>
        </is>
      </c>
      <c r="G3" s="50" t="inlineStr">
        <is>
          <t>Tipo de estudio</t>
        </is>
      </c>
      <c r="H3" s="50" t="inlineStr">
        <is>
          <t>Aporte principal</t>
        </is>
      </c>
      <c r="I3" s="50" t="inlineStr">
        <is>
          <t>Relación con Objetivo 1</t>
        </is>
      </c>
      <c r="J3" s="50" t="inlineStr">
        <is>
          <t>Evidencia de IA</t>
        </is>
      </c>
      <c r="K3" s="50" t="inlineStr">
        <is>
          <t>Evidencia de HCI/UX</t>
        </is>
      </c>
      <c r="L3" s="50" t="inlineStr">
        <is>
          <t>Evidencia de mobile app</t>
        </is>
      </c>
      <c r="M3" s="50" t="inlineStr">
        <is>
          <t>Evidencia de design/framework/methodology/approach</t>
        </is>
      </c>
      <c r="N3" s="50" t="inlineStr">
        <is>
          <t>Evidencia de agricultura</t>
        </is>
      </c>
      <c r="O3" s="50" t="inlineStr">
        <is>
          <t>Nivel de alineación con el objetivo</t>
        </is>
      </c>
      <c r="P3" s="50" t="inlineStr">
        <is>
          <t>Nivel de calidad</t>
        </is>
      </c>
      <c r="Q3" s="50" t="inlineStr">
        <is>
          <t>Decisión final (Incluir / Reserva)</t>
        </is>
      </c>
      <c r="R3" s="50" t="inlineStr">
        <is>
          <t>Justificación final</t>
        </is>
      </c>
    </row>
    <row r="4" ht="33.6" customHeight="1" s="34">
      <c r="A4" s="51" t="inlineStr">
        <is>
          <t>H0001</t>
        </is>
      </c>
      <c r="B4" s="51" t="inlineStr">
        <is>
          <t>IEEE Xplore</t>
        </is>
      </c>
      <c r="C4" s="51" t="inlineStr">
        <is>
          <t>Unified Approach for Avocado Leaf Disease Classification: CNN-SVM Fusion</t>
        </is>
      </c>
      <c r="D4" s="51" t="n">
        <v>2024</v>
      </c>
      <c r="E4" s="51" t="inlineStr">
        <is>
          <t>Mir; Banerjee; Chauhan; Pokhariya; Kumar</t>
        </is>
      </c>
      <c r="F4" s="51" t="inlineStr">
        <is>
          <t>10.1109/I2CT61223.2024.10544074</t>
        </is>
      </c>
      <c r="G4" s="51" t="inlineStr">
        <is>
          <t>Conference paper</t>
        </is>
      </c>
      <c r="H4" s="51" t="inlineStr">
        <is>
          <t>Aporta a la línea: IA aplicada a hojas de aguacate.</t>
        </is>
      </c>
      <c r="I4" s="51" t="inlineStr">
        <is>
          <t>Relacionado con el Objetivo 1 porque aporta evidencia fitosanitaria, síntomas foliares o metodología de detección automatizada para hojas de aguacate.</t>
        </is>
      </c>
      <c r="J4" s="51" t="inlineStr">
        <is>
          <t>Sí: CNN-SVM</t>
        </is>
      </c>
      <c r="K4" s="51" t="inlineStr">
        <is>
          <t>Parcial: útil para diseñar criterios de interacción y validación de app</t>
        </is>
      </c>
      <c r="L4" s="51" t="inlineStr">
        <is>
          <t>No explícita</t>
        </is>
      </c>
      <c r="M4" s="51" t="inlineStr">
        <is>
          <t>Sí: método o enfoque documentado</t>
        </is>
      </c>
      <c r="N4" s="51" t="inlineStr">
        <is>
          <t>Sí: aguacate, enfermedad foliar</t>
        </is>
      </c>
      <c r="O4" s="51" t="inlineStr">
        <is>
          <t>Alta</t>
        </is>
      </c>
      <c r="P4" s="51" t="inlineStr">
        <is>
          <t>Alta calidad</t>
        </is>
      </c>
      <c r="Q4" s="51" t="inlineStr">
        <is>
          <t>Incluir</t>
        </is>
      </c>
      <c r="R4" s="51" t="inlineStr">
        <is>
          <t>Incluir en el marco teórico principal.</t>
        </is>
      </c>
    </row>
    <row r="5" ht="33.6" customHeight="1" s="34">
      <c r="A5" s="51" t="inlineStr">
        <is>
          <t>H0002</t>
        </is>
      </c>
      <c r="B5" s="51" t="inlineStr">
        <is>
          <t>IEEE Xplore</t>
        </is>
      </c>
      <c r="C5" s="51" t="inlineStr">
        <is>
          <t>Plant Leaf Disease Detection, Classification, and Diagnosis Using Computer Vision and Artificial Intelligence: A Review</t>
        </is>
      </c>
      <c r="D5" s="51" t="n">
        <v>2024</v>
      </c>
      <c r="E5" s="51" t="inlineStr">
        <is>
          <t>IEEE Access review authors</t>
        </is>
      </c>
      <c r="F5" s="51" t="inlineStr">
        <is>
          <t>10.1109/ACCESS.2024.3373001</t>
        </is>
      </c>
      <c r="G5" s="51" t="inlineStr">
        <is>
          <t>Review</t>
        </is>
      </c>
      <c r="H5" s="51" t="inlineStr">
        <is>
          <t>Aporta a la línea: Estado del arte IA foliar.</t>
        </is>
      </c>
      <c r="I5" s="51" t="inlineStr">
        <is>
          <t>Relacionado con el Objetivo 1 porque aporta evidencia fitosanitaria, síntomas foliares o metodología de detección automatizada para hojas de aguacate.</t>
        </is>
      </c>
      <c r="J5" s="51" t="inlineStr">
        <is>
          <t>Sí: IA, computer vision, deep learning</t>
        </is>
      </c>
      <c r="K5" s="51" t="inlineStr">
        <is>
          <t>Parcial: útil para diseñar criterios de interacción y validación de app</t>
        </is>
      </c>
      <c r="L5" s="51" t="inlineStr">
        <is>
          <t>No explícita</t>
        </is>
      </c>
      <c r="M5" s="51" t="inlineStr">
        <is>
          <t>Sí: método o enfoque documentado</t>
        </is>
      </c>
      <c r="N5" s="51" t="inlineStr">
        <is>
          <t>Sí: enfermedades foliares</t>
        </is>
      </c>
      <c r="O5" s="51" t="inlineStr">
        <is>
          <t>Media</t>
        </is>
      </c>
      <c r="P5" s="51" t="inlineStr">
        <is>
          <t>Alta calidad</t>
        </is>
      </c>
      <c r="Q5" s="51" t="inlineStr">
        <is>
          <t>Reserva</t>
        </is>
      </c>
      <c r="R5" s="51" t="inlineStr">
        <is>
          <t>Mantener como apoyo metodológico o diagnóstico diferencial.</t>
        </is>
      </c>
    </row>
    <row r="6" ht="33.6" customHeight="1" s="34">
      <c r="A6" s="51" t="inlineStr">
        <is>
          <t>H0003</t>
        </is>
      </c>
      <c r="B6" s="51" t="inlineStr">
        <is>
          <t>IEEE Xplore</t>
        </is>
      </c>
      <c r="C6" s="51" t="inlineStr">
        <is>
          <t>Real-Time Detection and Identification of Plant Leaf Diseases using YOLOv4-tiny</t>
        </is>
      </c>
      <c r="D6" s="51" t="n">
        <v>2021</v>
      </c>
      <c r="E6" s="51" t="inlineStr">
        <is>
          <t>ICCCNT authors</t>
        </is>
      </c>
      <c r="F6" s="51" t="inlineStr">
        <is>
          <t>10.1109/ICCCNT51525.2021.9579783</t>
        </is>
      </c>
      <c r="G6" s="51" t="inlineStr">
        <is>
          <t>Conference paper</t>
        </is>
      </c>
      <c r="H6" s="51" t="inlineStr">
        <is>
          <t>Aporta a la línea: YOLO para enfermedades foliares.</t>
        </is>
      </c>
      <c r="I6" s="51" t="inlineStr">
        <is>
          <t>Relacionado con el Objetivo 1 porque aporta evidencia fitosanitaria, síntomas foliares o metodología de detección automatizada para hojas de aguacate.</t>
        </is>
      </c>
      <c r="J6" s="51" t="inlineStr">
        <is>
          <t>Sí: YOLOv4-tiny</t>
        </is>
      </c>
      <c r="K6" s="51" t="inlineStr">
        <is>
          <t>Parcial: útil para diseñar criterios de interacción y validación de app</t>
        </is>
      </c>
      <c r="L6" s="51" t="inlineStr">
        <is>
          <t>No explícita</t>
        </is>
      </c>
      <c r="M6" s="51" t="inlineStr">
        <is>
          <t>Sí: método o enfoque documentado</t>
        </is>
      </c>
      <c r="N6" s="51" t="inlineStr">
        <is>
          <t>Sí: enfermedad foliar vegetal</t>
        </is>
      </c>
      <c r="O6" s="51" t="inlineStr">
        <is>
          <t>Media</t>
        </is>
      </c>
      <c r="P6" s="51" t="inlineStr">
        <is>
          <t>Alta calidad</t>
        </is>
      </c>
      <c r="Q6" s="51" t="inlineStr">
        <is>
          <t>Reserva</t>
        </is>
      </c>
      <c r="R6" s="51" t="inlineStr">
        <is>
          <t>Mantener como apoyo metodológico o diagnóstico diferencial.</t>
        </is>
      </c>
    </row>
    <row r="7" ht="33.6" customHeight="1" s="34">
      <c r="A7" s="51" t="inlineStr">
        <is>
          <t>H0004</t>
        </is>
      </c>
      <c r="B7" s="51" t="inlineStr">
        <is>
          <t>Scientific Reports</t>
        </is>
      </c>
      <c r="C7" s="51" t="inlineStr">
        <is>
          <t>Spectrally optimised YOLOv10s-SeqOpt framework for real-time UAV-based early detection of avocado foliar diseases in Indian orchards</t>
        </is>
      </c>
      <c r="D7" s="51" t="n">
        <v>2026</v>
      </c>
      <c r="E7" s="51" t="inlineStr">
        <is>
          <t>Karthik; Govindasamy; Muthusamy; Routray</t>
        </is>
      </c>
      <c r="F7" s="51" t="inlineStr">
        <is>
          <t>10.1038/s41598-026-50025-z</t>
        </is>
      </c>
      <c r="G7" s="51" t="inlineStr">
        <is>
          <t>Article</t>
        </is>
      </c>
      <c r="H7" s="51" t="inlineStr">
        <is>
          <t>Aporta a la línea: UAV e IA en aguacate.</t>
        </is>
      </c>
      <c r="I7" s="51" t="inlineStr">
        <is>
          <t>Relacionado con el Objetivo 1 porque aporta evidencia fitosanitaria, síntomas foliares o metodología de detección automatizada para hojas de aguacate.</t>
        </is>
      </c>
      <c r="J7" s="51" t="inlineStr">
        <is>
          <t>Sí: YOLOv10s, deep learning</t>
        </is>
      </c>
      <c r="K7" s="51" t="inlineStr">
        <is>
          <t>Parcial: útil para diseñar criterios de interacción y validación de app</t>
        </is>
      </c>
      <c r="L7" s="51" t="inlineStr">
        <is>
          <t>No explícita</t>
        </is>
      </c>
      <c r="M7" s="51" t="inlineStr">
        <is>
          <t>Sí: método o enfoque documentado</t>
        </is>
      </c>
      <c r="N7" s="51" t="inlineStr">
        <is>
          <t>Sí: aguacate, enfermedades foliares</t>
        </is>
      </c>
      <c r="O7" s="51" t="inlineStr">
        <is>
          <t>Alta</t>
        </is>
      </c>
      <c r="P7" s="51" t="inlineStr">
        <is>
          <t>Alta calidad</t>
        </is>
      </c>
      <c r="Q7" s="51" t="inlineStr">
        <is>
          <t>Incluir</t>
        </is>
      </c>
      <c r="R7" s="51" t="inlineStr">
        <is>
          <t>Incluir en el marco teórico principal.</t>
        </is>
      </c>
    </row>
    <row r="8" ht="33.6" customHeight="1" s="34">
      <c r="A8" s="51" t="inlineStr">
        <is>
          <t>H0005</t>
        </is>
      </c>
      <c r="B8" s="51" t="inlineStr">
        <is>
          <t>AgriEngineering</t>
        </is>
      </c>
      <c r="C8" s="51" t="inlineStr">
        <is>
          <t>Spatial Mapping of Avocado Anthracnose Severity Using UAV-Derived Vegetation Indices in Amazonas, Peru</t>
        </is>
      </c>
      <c r="D8" s="51" t="n">
        <v>2026</v>
      </c>
      <c r="E8" s="51" t="inlineStr">
        <is>
          <t>Guelac-Santillan et al.</t>
        </is>
      </c>
      <c r="F8" s="51" t="inlineStr"/>
      <c r="G8" s="51" t="inlineStr">
        <is>
          <t>Article</t>
        </is>
      </c>
      <c r="H8" s="51" t="inlineStr">
        <is>
          <t>Aporta a la línea: Antracnosis y UAV.</t>
        </is>
      </c>
      <c r="I8" s="51" t="inlineStr">
        <is>
          <t>Relacionado con el Objetivo 1 porque aporta evidencia fitosanitaria, síntomas foliares o metodología de detección automatizada para hojas de aguacate.</t>
        </is>
      </c>
      <c r="J8" s="51" t="inlineStr">
        <is>
          <t>Parcial: índices de vegetación y análisis espacial</t>
        </is>
      </c>
      <c r="K8" s="51" t="inlineStr">
        <is>
          <t>Parcial: útil para diseñar criterios de interacción y validación de app</t>
        </is>
      </c>
      <c r="L8" s="51" t="inlineStr">
        <is>
          <t>No</t>
        </is>
      </c>
      <c r="M8" s="51" t="inlineStr">
        <is>
          <t>Sí: método o enfoque documentado</t>
        </is>
      </c>
      <c r="N8" s="51" t="inlineStr">
        <is>
          <t>Sí: aguacate, antracnosis</t>
        </is>
      </c>
      <c r="O8" s="51" t="inlineStr">
        <is>
          <t>Alta</t>
        </is>
      </c>
      <c r="P8" s="51" t="inlineStr">
        <is>
          <t>Alta calidad</t>
        </is>
      </c>
      <c r="Q8" s="51" t="inlineStr">
        <is>
          <t>Incluir</t>
        </is>
      </c>
      <c r="R8" s="51" t="inlineStr">
        <is>
          <t>Incluir en el marco teórico principal.</t>
        </is>
      </c>
    </row>
    <row r="9" ht="33.6" customHeight="1" s="34">
      <c r="A9" s="51" t="inlineStr">
        <is>
          <t>H0006</t>
        </is>
      </c>
      <c r="B9" s="51" t="inlineStr">
        <is>
          <t>International Journal of Plant Biology</t>
        </is>
      </c>
      <c r="C9" s="51" t="inlineStr">
        <is>
          <t>Colletotrichum fructicola Causes Necrotic Leaf Lesions in Avocado (Persea americana) in Amazonas, Peru: First Record and In Vitro Control Using Piper Essential Oils</t>
        </is>
      </c>
      <c r="D9" s="51" t="n">
        <v>2026</v>
      </c>
      <c r="E9" s="51" t="inlineStr">
        <is>
          <t>Authors not extracted</t>
        </is>
      </c>
      <c r="F9" s="51" t="inlineStr"/>
      <c r="G9" s="51" t="inlineStr">
        <is>
          <t>Article</t>
        </is>
      </c>
      <c r="H9" s="51" t="inlineStr">
        <is>
          <t>Aporta a la línea: Lesiones foliares necroticas.</t>
        </is>
      </c>
      <c r="I9" s="51" t="inlineStr">
        <is>
          <t>Relacionado con el Objetivo 1 porque aporta evidencia fitosanitaria, síntomas foliares o metodología de detección automatizada para hojas de aguacate.</t>
        </is>
      </c>
      <c r="J9" s="51" t="inlineStr">
        <is>
          <t>No</t>
        </is>
      </c>
      <c r="K9" s="51" t="inlineStr">
        <is>
          <t>Parcial: útil para diseñar criterios de interacción y validación de app</t>
        </is>
      </c>
      <c r="L9" s="51" t="inlineStr">
        <is>
          <t>No</t>
        </is>
      </c>
      <c r="M9" s="51" t="inlineStr">
        <is>
          <t>Parcial: soporte fitosanitario</t>
        </is>
      </c>
      <c r="N9" s="51" t="inlineStr">
        <is>
          <t>Sí: aguacate, lesiones foliares</t>
        </is>
      </c>
      <c r="O9" s="51" t="inlineStr">
        <is>
          <t>Alta</t>
        </is>
      </c>
      <c r="P9" s="51" t="inlineStr">
        <is>
          <t>Alta calidad</t>
        </is>
      </c>
      <c r="Q9" s="51" t="inlineStr">
        <is>
          <t>Incluir</t>
        </is>
      </c>
      <c r="R9" s="51" t="inlineStr">
        <is>
          <t>Incluir en el marco teórico principal.</t>
        </is>
      </c>
    </row>
    <row r="10" ht="33.6" customHeight="1" s="34">
      <c r="A10" s="51" t="inlineStr">
        <is>
          <t>H0007</t>
        </is>
      </c>
      <c r="B10" s="51" t="inlineStr">
        <is>
          <t>Revista Colombiana de Ciencias Hortícolas</t>
        </is>
      </c>
      <c r="C10" s="51" t="inlineStr">
        <is>
          <t>Validation of black spot management strategies in avocado crops in northern Tolima (Colombia)</t>
        </is>
      </c>
      <c r="D10" s="51" t="n">
        <v>2020</v>
      </c>
      <c r="E10" s="51" t="inlineStr">
        <is>
          <t>Rodríguez-Polanco et al.</t>
        </is>
      </c>
      <c r="F10" s="51" t="inlineStr">
        <is>
          <t>10.17584/rcch.2020v14i2.10169</t>
        </is>
      </c>
      <c r="G10" s="51" t="inlineStr">
        <is>
          <t>Article</t>
        </is>
      </c>
      <c r="H10" s="51" t="inlineStr">
        <is>
          <t>Aporta a la línea: Cercospora y mancha negra.</t>
        </is>
      </c>
      <c r="I10" s="51" t="inlineStr">
        <is>
          <t>Relacionado con el Objetivo 1 porque aporta evidencia fitosanitaria, síntomas foliares o metodología de detección automatizada para hojas de aguacate.</t>
        </is>
      </c>
      <c r="J10" s="51" t="inlineStr">
        <is>
          <t>No</t>
        </is>
      </c>
      <c r="K10" s="51" t="inlineStr">
        <is>
          <t>Parcial: útil para diseñar criterios de interacción y validación de app</t>
        </is>
      </c>
      <c r="L10" s="51" t="inlineStr">
        <is>
          <t>No</t>
        </is>
      </c>
      <c r="M10" s="51" t="inlineStr">
        <is>
          <t>Parcial: soporte fitosanitario</t>
        </is>
      </c>
      <c r="N10" s="51" t="inlineStr">
        <is>
          <t>Sí: aguacate, mancha negra</t>
        </is>
      </c>
      <c r="O10" s="51" t="inlineStr">
        <is>
          <t>Alta</t>
        </is>
      </c>
      <c r="P10" s="51" t="inlineStr">
        <is>
          <t>Alta calidad</t>
        </is>
      </c>
      <c r="Q10" s="51" t="inlineStr">
        <is>
          <t>Incluir</t>
        </is>
      </c>
      <c r="R10" s="51" t="inlineStr">
        <is>
          <t>Incluir en el marco teórico principal.</t>
        </is>
      </c>
    </row>
    <row r="11" ht="33.6" customHeight="1" s="34">
      <c r="A11" s="51" t="inlineStr">
        <is>
          <t>H0008</t>
        </is>
      </c>
      <c r="B11" s="51" t="inlineStr">
        <is>
          <t>Journal of Sol-Gel Science and Technology</t>
        </is>
      </c>
      <c r="C11" s="51" t="inlineStr">
        <is>
          <t>Silica-based nanomaterials for the control of Trioza anceps: Laboratory bioassays and preliminary field observations</t>
        </is>
      </c>
      <c r="D11" s="51" t="n">
        <v>2026</v>
      </c>
      <c r="E11" s="51" t="inlineStr">
        <is>
          <t>Cinto-Alarcon et al.</t>
        </is>
      </c>
      <c r="F11" s="51" t="inlineStr">
        <is>
          <t>10.1007/s10971-026-07179-z</t>
        </is>
      </c>
      <c r="G11" s="51" t="inlineStr">
        <is>
          <t>Article</t>
        </is>
      </c>
      <c r="H11" s="51" t="inlineStr">
        <is>
          <t>Aporta a la línea: Agallas foliares.</t>
        </is>
      </c>
      <c r="I11" s="51" t="inlineStr">
        <is>
          <t>Relacionado con el Objetivo 1 porque aporta evidencia fitosanitaria, síntomas foliares o metodología de detección automatizada para hojas de aguacate.</t>
        </is>
      </c>
      <c r="J11" s="51" t="inlineStr">
        <is>
          <t>No</t>
        </is>
      </c>
      <c r="K11" s="51" t="inlineStr">
        <is>
          <t>Parcial: útil para diseñar criterios de interacción y validación de app</t>
        </is>
      </c>
      <c r="L11" s="51" t="inlineStr">
        <is>
          <t>No</t>
        </is>
      </c>
      <c r="M11" s="51" t="inlineStr">
        <is>
          <t>Parcial: soporte fitosanitario</t>
        </is>
      </c>
      <c r="N11" s="51" t="inlineStr">
        <is>
          <t>Sí: aguacate, Trioza anceps</t>
        </is>
      </c>
      <c r="O11" s="51" t="inlineStr">
        <is>
          <t>Media</t>
        </is>
      </c>
      <c r="P11" s="51" t="inlineStr">
        <is>
          <t>Alta calidad</t>
        </is>
      </c>
      <c r="Q11" s="51" t="inlineStr">
        <is>
          <t>Reserva</t>
        </is>
      </c>
      <c r="R11" s="51" t="inlineStr">
        <is>
          <t>Mantener como apoyo metodológico o diagnóstico diferencial.</t>
        </is>
      </c>
    </row>
    <row r="12" ht="33.6" customHeight="1" s="34">
      <c r="A12" s="51" t="inlineStr">
        <is>
          <t>H0009</t>
        </is>
      </c>
      <c r="B12" s="51" t="inlineStr">
        <is>
          <t>Journal of Economic Entomology</t>
        </is>
      </c>
      <c r="C12" s="51" t="inlineStr">
        <is>
          <t>Biocontrol Potential of Neoseiulus californicus Against Oligonychus punicae in Avocado</t>
        </is>
      </c>
      <c r="D12" s="51" t="n">
        <v>2021</v>
      </c>
      <c r="E12" s="51" t="inlineStr">
        <is>
          <t>Oliveira et al.</t>
        </is>
      </c>
      <c r="F12" s="51" t="inlineStr">
        <is>
          <t>10.1093/jee/toab029</t>
        </is>
      </c>
      <c r="G12" s="51" t="inlineStr">
        <is>
          <t>Article</t>
        </is>
      </c>
      <c r="H12" s="51" t="inlineStr">
        <is>
          <t>Aporta a la línea: Araña roja y acaros.</t>
        </is>
      </c>
      <c r="I12" s="51" t="inlineStr">
        <is>
          <t>Relacionado con el Objetivo 1 porque aporta evidencia fitosanitaria, síntomas foliares o metodología de detección automatizada para hojas de aguacate.</t>
        </is>
      </c>
      <c r="J12" s="51" t="inlineStr">
        <is>
          <t>No</t>
        </is>
      </c>
      <c r="K12" s="51" t="inlineStr">
        <is>
          <t>Parcial: útil para diseñar criterios de interacción y validación de app</t>
        </is>
      </c>
      <c r="L12" s="51" t="inlineStr">
        <is>
          <t>No</t>
        </is>
      </c>
      <c r="M12" s="51" t="inlineStr">
        <is>
          <t>Parcial: soporte fitosanitario</t>
        </is>
      </c>
      <c r="N12" s="51" t="inlineStr">
        <is>
          <t>Sí: aguacate, ácaros</t>
        </is>
      </c>
      <c r="O12" s="51" t="inlineStr">
        <is>
          <t>Media</t>
        </is>
      </c>
      <c r="P12" s="51" t="inlineStr">
        <is>
          <t>Alta calidad</t>
        </is>
      </c>
      <c r="Q12" s="51" t="inlineStr">
        <is>
          <t>Reserva</t>
        </is>
      </c>
      <c r="R12" s="51" t="inlineStr">
        <is>
          <t>Mantener como apoyo metodológico o diagnóstico diferencial.</t>
        </is>
      </c>
    </row>
    <row r="13" ht="33.6" customHeight="1" s="34">
      <c r="A13" s="51" t="inlineStr">
        <is>
          <t>H0010</t>
        </is>
      </c>
      <c r="B13" s="51" t="inlineStr">
        <is>
          <t>Plant Health Progress</t>
        </is>
      </c>
      <c r="C13" s="51" t="inlineStr">
        <is>
          <t>Avocado Scab Caused by Elsinoe perseae: A Diagnostic Guide</t>
        </is>
      </c>
      <c r="D13" s="51" t="n">
        <v>2024</v>
      </c>
      <c r="E13" s="51" t="inlineStr">
        <is>
          <t>Belizaire; Gañán-Betancur; Gazis</t>
        </is>
      </c>
      <c r="F13" s="51" t="inlineStr">
        <is>
          <t>10.1094/PHP-10-23-0084-DG</t>
        </is>
      </c>
      <c r="G13" s="51" t="inlineStr">
        <is>
          <t>Diagnostic guide</t>
        </is>
      </c>
      <c r="H13" s="51" t="inlineStr">
        <is>
          <t>Aporta a la línea: Roña.</t>
        </is>
      </c>
      <c r="I13" s="51" t="inlineStr">
        <is>
          <t>Relacionado con el Objetivo 1 porque aporta evidencia fitosanitaria, síntomas foliares o metodología de detección automatizada para hojas de aguacate.</t>
        </is>
      </c>
      <c r="J13" s="51" t="inlineStr">
        <is>
          <t>No</t>
        </is>
      </c>
      <c r="K13" s="51" t="inlineStr">
        <is>
          <t>Parcial: útil para diseñar criterios de interacción y validación de app</t>
        </is>
      </c>
      <c r="L13" s="51" t="inlineStr">
        <is>
          <t>No</t>
        </is>
      </c>
      <c r="M13" s="51" t="inlineStr">
        <is>
          <t>Parcial: soporte fitosanitario</t>
        </is>
      </c>
      <c r="N13" s="51" t="inlineStr">
        <is>
          <t>Sí: aguacate, roña</t>
        </is>
      </c>
      <c r="O13" s="51" t="inlineStr">
        <is>
          <t>Media</t>
        </is>
      </c>
      <c r="P13" s="51" t="inlineStr">
        <is>
          <t>Alta calidad</t>
        </is>
      </c>
      <c r="Q13" s="51" t="inlineStr">
        <is>
          <t>Reserva</t>
        </is>
      </c>
      <c r="R13" s="51" t="inlineStr">
        <is>
          <t>Mantener como apoyo metodológico o diagnóstico diferencial.</t>
        </is>
      </c>
    </row>
    <row r="14" ht="33.6" customHeight="1" s="34">
      <c r="A14" s="51" t="inlineStr">
        <is>
          <t>H0011</t>
        </is>
      </c>
      <c r="B14" s="51" t="inlineStr">
        <is>
          <t>Journal</t>
        </is>
      </c>
      <c r="C14" s="51" t="inlineStr">
        <is>
          <t>Real-time hass avocado ripeness detection using close-range UAV imagery and YOLO-based deep learning</t>
        </is>
      </c>
      <c r="D14" s="51" t="n">
        <v>2026</v>
      </c>
      <c r="E14" s="51" t="inlineStr">
        <is>
          <t>Tudela Taco; Quispe Accostupa; Sulla Espinoza</t>
        </is>
      </c>
      <c r="F14" s="51" t="inlineStr"/>
      <c r="G14" s="51" t="inlineStr">
        <is>
          <t>Article</t>
        </is>
      </c>
      <c r="H14" s="51" t="inlineStr">
        <is>
          <t>Aporta a la línea: YOLO y UAV en aguacate.</t>
        </is>
      </c>
      <c r="I14" s="51" t="inlineStr">
        <is>
          <t>Relacionado con el Objetivo 1 porque aporta evidencia fitosanitaria, síntomas foliares o metodología de detección automatizada para hojas de aguacate.</t>
        </is>
      </c>
      <c r="J14" s="51" t="inlineStr">
        <is>
          <t>Sí: YOLO, deep learning</t>
        </is>
      </c>
      <c r="K14" s="51" t="inlineStr">
        <is>
          <t>Parcial: útil para diseñar criterios de interacción y validación de app</t>
        </is>
      </c>
      <c r="L14" s="51" t="inlineStr">
        <is>
          <t>No</t>
        </is>
      </c>
      <c r="M14" s="51" t="inlineStr">
        <is>
          <t>Sí: método o enfoque documentado</t>
        </is>
      </c>
      <c r="N14" s="51" t="inlineStr">
        <is>
          <t>Sí: aguacate</t>
        </is>
      </c>
      <c r="O14" s="51" t="inlineStr">
        <is>
          <t>Media</t>
        </is>
      </c>
      <c r="P14" s="51" t="inlineStr">
        <is>
          <t>Alta calidad</t>
        </is>
      </c>
      <c r="Q14" s="51" t="inlineStr">
        <is>
          <t>Reserva</t>
        </is>
      </c>
      <c r="R14" s="51" t="inlineStr">
        <is>
          <t>Mantener como apoyo metodológico o diagnóstico diferencial.</t>
        </is>
      </c>
    </row>
    <row r="15" ht="33.6" customHeight="1" s="34">
      <c r="A15" s="51" t="inlineStr">
        <is>
          <t>H0012</t>
        </is>
      </c>
      <c r="B15" s="51" t="inlineStr">
        <is>
          <t>Scientific Reports</t>
        </is>
      </c>
      <c r="C15" s="51" t="inlineStr">
        <is>
          <t>Simultaneously prediction of multiple wheat leaf phenotypes using hyperspectral imaging with multi-task machine and deep learning</t>
        </is>
      </c>
      <c r="D15" s="51" t="n">
        <v>2026</v>
      </c>
      <c r="E15" s="51" t="inlineStr">
        <is>
          <t>Fu et al.</t>
        </is>
      </c>
      <c r="F15" s="51" t="inlineStr"/>
      <c r="G15" s="51" t="inlineStr">
        <is>
          <t>Article</t>
        </is>
      </c>
      <c r="H15" s="51" t="inlineStr">
        <is>
          <t>Aporta a la línea: Cultivos comparativos.</t>
        </is>
      </c>
      <c r="I15" s="51" t="inlineStr">
        <is>
          <t>Relacionado con el Objetivo 1 porque aporta evidencia fitosanitaria, síntomas foliares o metodología de detección automatizada para hojas de aguacate.</t>
        </is>
      </c>
      <c r="J15" s="51" t="inlineStr">
        <is>
          <t>Sí: machine learning, deep learning</t>
        </is>
      </c>
      <c r="K15" s="51" t="inlineStr">
        <is>
          <t>Parcial: útil para diseñar criterios de interacción y validación de app</t>
        </is>
      </c>
      <c r="L15" s="51" t="inlineStr">
        <is>
          <t>No</t>
        </is>
      </c>
      <c r="M15" s="51" t="inlineStr">
        <is>
          <t>Sí: método o enfoque documentado</t>
        </is>
      </c>
      <c r="N15" s="51" t="inlineStr">
        <is>
          <t>Sí: hojas de cultivo</t>
        </is>
      </c>
      <c r="O15" s="51" t="inlineStr">
        <is>
          <t>Baja</t>
        </is>
      </c>
      <c r="P15" s="51" t="inlineStr">
        <is>
          <t>Alta calidad</t>
        </is>
      </c>
      <c r="Q15" s="51" t="inlineStr">
        <is>
          <t>Reserva</t>
        </is>
      </c>
      <c r="R15" s="51" t="inlineStr">
        <is>
          <t>Mantener como apoyo metodológico o diagnóstico diferencial.</t>
        </is>
      </c>
    </row>
    <row r="16" ht="33.6" customHeight="1" s="34"/>
    <row r="17" ht="33.6" customHeight="1" s="34"/>
    <row r="18" ht="33.6" customHeight="1" s="34"/>
    <row r="19" ht="33.6" customHeight="1" s="34"/>
    <row r="20" ht="33.6" customHeight="1" s="34"/>
    <row r="21" ht="33.6" customHeight="1" s="34"/>
    <row r="22" ht="33.6" customHeight="1" s="34"/>
    <row r="23" ht="33.6" customHeight="1" s="34"/>
    <row r="24" ht="33.6" customHeight="1" s="34"/>
    <row r="25" ht="33.6" customHeight="1" s="34"/>
    <row r="26" ht="33.6" customHeight="1" s="34"/>
    <row r="27" ht="33.6" customHeight="1" s="34"/>
    <row r="28" ht="33.6" customHeight="1" s="34"/>
    <row r="29" ht="33.6" customHeight="1" s="34"/>
    <row r="30" ht="33.6" customHeight="1" s="34"/>
    <row r="31" ht="33.6" customHeight="1" s="34"/>
    <row r="32" ht="33.6" customHeight="1" s="34"/>
  </sheetData>
  <autoFilter ref="A3:R15"/>
  <mergeCells count="2">
    <mergeCell ref="A2:R2"/>
    <mergeCell ref="A1:R1"/>
  </mergeCells>
  <dataValidations count="3">
    <dataValidation sqref="O4:O300" showDropDown="0" showInputMessage="0" showErrorMessage="0" allowBlank="1" type="list">
      <formula1>"Alto,Medio,Bajo"</formula1>
    </dataValidation>
    <dataValidation sqref="P4:P300" showDropDown="0" showInputMessage="0" showErrorMessage="0" allowBlank="1" type="list">
      <formula1>"Alta calidad,Media calidad,Baja calidad"</formula1>
    </dataValidation>
    <dataValidation sqref="Q4:Q300" showDropDown="0" showInputMessage="0" showErrorMessage="0" allowBlank="1" type="list">
      <formula1>"Incluir,Reserva"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topLeftCell="A50" workbookViewId="0">
      <selection activeCell="C114" sqref="C114"/>
    </sheetView>
  </sheetViews>
  <sheetFormatPr baseColWidth="10" defaultRowHeight="14.4"/>
  <cols>
    <col width="13" customWidth="1" style="34" min="1" max="1"/>
    <col width="55" customWidth="1" style="34" min="2" max="2"/>
    <col width="13" customWidth="1" style="34" min="3" max="3"/>
    <col width="13" customWidth="1" style="34" min="4" max="4"/>
    <col width="13" customWidth="1" style="34" min="5" max="5"/>
    <col width="13" customWidth="1" style="34" min="6" max="6"/>
  </cols>
  <sheetData>
    <row r="1" ht="21" customHeight="1" s="34" thickBot="1">
      <c r="A1" s="54" t="inlineStr">
        <is>
          <t>Autor</t>
        </is>
      </c>
      <c r="B1" s="54" t="inlineStr">
        <is>
          <t>Estudio</t>
        </is>
      </c>
      <c r="C1" s="54" t="inlineStr">
        <is>
          <t>Técnica IA</t>
        </is>
      </c>
      <c r="D1" s="54" t="inlineStr">
        <is>
          <t>Método HCI</t>
        </is>
      </c>
      <c r="E1" s="54" t="inlineStr">
        <is>
          <t>Plataforma móvil</t>
        </is>
      </c>
      <c r="F1" s="54" t="inlineStr">
        <is>
          <t>Evaluación UX</t>
        </is>
      </c>
    </row>
    <row r="2" ht="30" customHeight="1" s="34">
      <c r="A2" s="55" t="inlineStr">
        <is>
          <t>Mir; Banerjee; Chauhan; Pokhariya; Kumar (2024)</t>
        </is>
      </c>
      <c r="B2" s="55" t="inlineStr">
        <is>
          <t>Unified Approach for Avocado Leaf Disease Classification: CNN-SVM Fusion</t>
        </is>
      </c>
      <c r="C2" s="55" t="inlineStr">
        <is>
          <t>Sí: CNN-SVM</t>
        </is>
      </c>
      <c r="D2" s="55" t="inlineStr">
        <is>
          <t>Por definir en la propuesta de app móvil</t>
        </is>
      </c>
      <c r="E2" s="55" t="inlineStr">
        <is>
          <t>Android / móvil por definir</t>
        </is>
      </c>
      <c r="F2" s="55" t="inlineStr">
        <is>
          <t>Pendiente: SUS, heurísticas o pruebas con usuarios</t>
        </is>
      </c>
    </row>
    <row r="3" ht="20.4" customHeight="1" s="34">
      <c r="A3" s="55" t="inlineStr">
        <is>
          <t>Karthik; Govindasamy; Muthusamy; Routray (2026)</t>
        </is>
      </c>
      <c r="B3" s="55" t="inlineStr">
        <is>
          <t>Spectrally optimised YOLOv10s-SeqOpt framework for real-time UAV-based early detection of avocado foliar diseases in Indian orchards</t>
        </is>
      </c>
      <c r="C3" s="55" t="inlineStr">
        <is>
          <t>Sí: YOLOv10s, deep learning</t>
        </is>
      </c>
      <c r="D3" s="55" t="inlineStr">
        <is>
          <t>Por definir en la propuesta de app móvil</t>
        </is>
      </c>
      <c r="E3" s="55" t="inlineStr">
        <is>
          <t>Android / móvil por definir</t>
        </is>
      </c>
      <c r="F3" s="55" t="inlineStr">
        <is>
          <t>Pendiente: SUS, heurísticas o pruebas con usuarios</t>
        </is>
      </c>
    </row>
    <row r="4" ht="20.4" customHeight="1" s="34">
      <c r="A4" s="55" t="inlineStr">
        <is>
          <t>Guelac-Santillan et al. (2026)</t>
        </is>
      </c>
      <c r="B4" s="55" t="inlineStr">
        <is>
          <t>Spatial Mapping of Avocado Anthracnose Severity Using UAV-Derived Vegetation Indices in Amazonas, Peru</t>
        </is>
      </c>
      <c r="C4" s="55" t="inlineStr">
        <is>
          <t>Parcial: índices de vegetación y análisis espacial</t>
        </is>
      </c>
      <c r="D4" s="55" t="inlineStr">
        <is>
          <t>Por definir en la propuesta de app móvil</t>
        </is>
      </c>
      <c r="E4" s="55" t="inlineStr">
        <is>
          <t>No aplica directamente</t>
        </is>
      </c>
      <c r="F4" s="55" t="inlineStr">
        <is>
          <t>Pendiente: SUS, heurísticas o pruebas con usuarios</t>
        </is>
      </c>
    </row>
    <row r="5" ht="21" customHeight="1" s="34" thickBot="1">
      <c r="A5" s="55" t="inlineStr">
        <is>
          <t>Authors not extracted (2026)</t>
        </is>
      </c>
      <c r="B5" s="55" t="inlineStr">
        <is>
          <t>Colletotrichum fructicola Causes Necrotic Leaf Lesions in Avocado (Persea americana) in Amazonas, Peru: First Record and In Vitro Control Using Piper Essential Oils</t>
        </is>
      </c>
      <c r="C5" s="55" t="inlineStr">
        <is>
          <t>No</t>
        </is>
      </c>
      <c r="D5" s="55" t="inlineStr">
        <is>
          <t>Por definir en la propuesta de app móvil</t>
        </is>
      </c>
      <c r="E5" s="55" t="inlineStr">
        <is>
          <t>No aplica directamente</t>
        </is>
      </c>
      <c r="F5" s="55" t="inlineStr">
        <is>
          <t>Pendiente: SUS, heurísticas o pruebas con usuarios</t>
        </is>
      </c>
    </row>
    <row r="6" ht="51" customHeight="1" s="34">
      <c r="A6" s="55" t="inlineStr">
        <is>
          <t>Rodríguez-Polanco et al. (2020)</t>
        </is>
      </c>
      <c r="B6" s="55" t="inlineStr">
        <is>
          <t>Validation of black spot management strategies in avocado crops in northern Tolima (Colombia)</t>
        </is>
      </c>
      <c r="C6" s="55" t="inlineStr">
        <is>
          <t>No</t>
        </is>
      </c>
      <c r="D6" s="55" t="inlineStr">
        <is>
          <t>Por definir en la propuesta de app móvil</t>
        </is>
      </c>
      <c r="E6" s="55" t="inlineStr">
        <is>
          <t>No aplica directamente</t>
        </is>
      </c>
      <c r="F6" s="55" t="inlineStr">
        <is>
          <t>Pendiente: SUS, heurísticas o pruebas con usuarios</t>
        </is>
      </c>
    </row>
    <row r="7" ht="30.6" customHeight="1" s="34"/>
    <row r="8" ht="30.6" customHeight="1" s="34"/>
    <row r="9" ht="20.4" customHeight="1" s="34"/>
    <row r="10" ht="15" customHeight="1" s="34" thickBot="1"/>
    <row r="11" ht="30.6" customHeight="1" s="34"/>
    <row r="12" ht="30.6" customHeight="1" s="34"/>
    <row r="13" ht="20.4" customHeight="1" s="34"/>
    <row r="14" ht="20.4" customHeight="1" s="34"/>
    <row r="15" ht="40.8" customHeight="1" s="34"/>
    <row r="16" ht="40.8" customHeight="1" s="34"/>
    <row r="17" ht="21" customHeight="1" s="34" thickBot="1"/>
    <row r="18" ht="30.6" customHeight="1" s="34"/>
    <row r="19" ht="20.4" customHeight="1" s="34"/>
    <row r="20" ht="40.8" customHeight="1" s="34"/>
    <row r="21" ht="30.6" customHeight="1" s="34"/>
    <row r="22" ht="20.4" customHeight="1" s="34"/>
    <row r="23" ht="21" customHeight="1" s="34" thickBot="1"/>
    <row r="24" ht="30.6" customHeight="1" s="34"/>
    <row r="25" ht="71.40000000000001" customHeight="1" s="34"/>
    <row r="26" ht="30.6" customHeight="1" s="34"/>
    <row r="27" ht="30.6" customHeight="1" s="34"/>
    <row r="28" ht="31.2" customHeight="1" s="34" thickBot="1"/>
    <row r="29" ht="20.4" customHeight="1" s="34"/>
    <row r="30" ht="30.6" customHeight="1" s="34"/>
    <row r="31" ht="20.4" customHeight="1" s="34"/>
    <row r="32" ht="40.8" customHeight="1" s="34"/>
    <row r="33" ht="20.4" customHeight="1" s="34"/>
    <row r="34" ht="31.2" customHeight="1" s="34" thickBot="1"/>
    <row r="35" ht="40.8" customHeight="1" s="34"/>
    <row r="36" ht="40.8" customHeight="1" s="34"/>
    <row r="37" ht="40.8" customHeight="1" s="34"/>
    <row r="38" ht="30.6" customHeight="1" s="34"/>
    <row r="39" ht="30.6" customHeight="1" s="34"/>
    <row r="40" ht="30.6" customHeight="1" s="34"/>
    <row r="41" ht="31.2" customHeight="1" s="34" thickBot="1"/>
    <row r="42" ht="30.6" customHeight="1" s="34"/>
    <row r="43" ht="40.8" customHeight="1" s="34"/>
    <row r="44" ht="20.4" customHeight="1" s="34"/>
    <row r="45" ht="31.2" customHeight="1" s="34" thickBot="1"/>
    <row r="49" ht="28.8" customHeight="1" s="34"/>
    <row r="50" ht="225.6" customHeight="1" s="34"/>
    <row r="51" ht="409.6" customHeight="1" s="34"/>
    <row r="52" ht="28.8" customHeight="1" s="34"/>
    <row r="53" ht="409.6" customHeight="1" s="34"/>
  </sheetData>
  <autoFilter ref="A1:F6"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tabSelected="1" workbookViewId="0">
      <selection activeCell="F10" sqref="F10"/>
    </sheetView>
  </sheetViews>
  <sheetFormatPr baseColWidth="10" defaultColWidth="8.88671875" defaultRowHeight="14.4"/>
  <cols>
    <col width="42" customWidth="1" style="34" min="1" max="1"/>
    <col width="14" customWidth="1" style="34" min="2" max="2"/>
    <col width="42" customWidth="1" style="34" min="3" max="3"/>
    <col width="12" customWidth="1" style="34" min="4" max="4"/>
    <col width="18" customWidth="1" style="34" min="5" max="5"/>
    <col width="14" customWidth="1" style="34" min="6" max="6"/>
    <col width="12" customWidth="1" style="34" min="7" max="8"/>
    <col width="13" customWidth="1" style="34" min="8" max="8"/>
    <col width="13" customWidth="1" style="34" min="9" max="9"/>
    <col width="23.33203125" customWidth="1" style="34" min="10" max="10"/>
  </cols>
  <sheetData>
    <row r="1" ht="17.55" customHeight="1" s="34">
      <c r="A1" s="49" t="inlineStr">
        <is>
          <t>Resumen_ejecutivo</t>
        </is>
      </c>
    </row>
    <row r="2">
      <c r="A2" s="55" t="inlineStr">
        <is>
          <t>Resumen adaptado al trabajo sobre detección de enfermedades y plagas foliares del aguacate con IA, visión por computador y posible app móvil.</t>
        </is>
      </c>
    </row>
    <row r="3">
      <c r="A3" s="50" t="inlineStr">
        <is>
          <t>Métrica</t>
        </is>
      </c>
      <c r="B3" s="50" t="inlineStr">
        <is>
          <t>Valor</t>
        </is>
      </c>
      <c r="C3" s="50" t="inlineStr">
        <is>
          <t>Definición</t>
        </is>
      </c>
      <c r="D3" s="1" t="n"/>
      <c r="E3" s="50" t="inlineStr">
        <is>
          <t>Base de datos</t>
        </is>
      </c>
      <c r="F3" s="50" t="inlineStr">
        <is>
          <t>Seleccionados</t>
        </is>
      </c>
      <c r="G3" s="50" t="inlineStr">
        <is>
          <t>Incluir</t>
        </is>
      </c>
      <c r="H3" s="50" t="inlineStr">
        <is>
          <t>Reserva</t>
        </is>
      </c>
      <c r="J3" s="56" t="inlineStr">
        <is>
          <t>Duplicados y revisiones</t>
        </is>
      </c>
    </row>
    <row r="4">
      <c r="A4" s="2" t="inlineStr">
        <is>
          <t>Número total de artículos analizados</t>
        </is>
      </c>
      <c r="B4" s="3">
        <f>COUNTA(Base_consolidada!A:A)-3</f>
        <v/>
      </c>
      <c r="C4" s="2" t="inlineStr">
        <is>
          <t>Total consolidado de registros importados.</t>
        </is>
      </c>
      <c r="D4" s="4" t="n"/>
      <c r="E4" s="57" t="inlineStr">
        <is>
          <t>Scopus</t>
        </is>
      </c>
      <c r="F4" s="57">
        <f>COUNTIF(Articulos_finales!B:B,"Scopus")</f>
        <v/>
      </c>
      <c r="G4" s="57">
        <f>COUNTIFS(Articulos_finales!B:B,"Scopus",Articulos_finales!Q:Q,"Incluir")</f>
        <v/>
      </c>
      <c r="H4" s="57">
        <f>COUNTIFS(Articulos_finales!B:B,"Scopus",Articulos_finales!Q:Q,"Reserva")</f>
        <v/>
      </c>
      <c r="J4" s="58">
        <f>B5+B6</f>
        <v/>
      </c>
    </row>
    <row r="5">
      <c r="A5" s="6" t="inlineStr">
        <is>
          <t>Número de duplicados encontrados</t>
        </is>
      </c>
      <c r="B5" s="7">
        <f>COUNTIF(Duplicados_y_exclusion!G:G,"Sí")</f>
        <v/>
      </c>
      <c r="C5" s="6" t="inlineStr">
        <is>
          <t>Registros repetidos respecto al estudio preferente.</t>
        </is>
      </c>
      <c r="D5" s="4" t="n"/>
      <c r="E5" s="59" t="inlineStr">
        <is>
          <t>IEEE Xplore</t>
        </is>
      </c>
      <c r="F5" s="59">
        <f>COUNTIF(Articulos_finales!B:B,"IEEE Xplore")</f>
        <v/>
      </c>
      <c r="G5" s="59">
        <f>COUNTIFS(Articulos_finales!B:B,"IEEE Xplore",Articulos_finales!Q:Q,"Incluir")</f>
        <v/>
      </c>
      <c r="H5" s="59">
        <f>COUNTIFS(Articulos_finales!B:B,"IEEE Xplore",Articulos_finales!Q:Q,"Reserva")</f>
        <v/>
      </c>
    </row>
    <row r="6" ht="27.6" customHeight="1" s="34">
      <c r="A6" s="2" t="inlineStr">
        <is>
          <t>Número de revisiones/surveys/mapping/meta-análisis excluidos</t>
        </is>
      </c>
      <c r="B6" s="3">
        <f>COUNTIF(Duplicados_y_exclusion!E:E,"Revisión")</f>
        <v/>
      </c>
      <c r="C6" s="2" t="inlineStr">
        <is>
          <t>Exclusiones por ser estudios de revisión.</t>
        </is>
      </c>
      <c r="D6" s="4" t="n"/>
      <c r="E6" s="57" t="inlineStr">
        <is>
          <t>Web of Science</t>
        </is>
      </c>
      <c r="F6" s="57">
        <f>COUNTIF(Articulos_finales!B:B,"Web of Science")</f>
        <v/>
      </c>
      <c r="G6" s="57">
        <f>COUNTIFS(Articulos_finales!B:B,"Web of Science",Articulos_finales!Q:Q,"Incluir")</f>
        <v/>
      </c>
      <c r="H6" s="57">
        <f>COUNTIFS(Articulos_finales!B:B,"Web of Science",Articulos_finales!Q:Q,"Reserva")</f>
        <v/>
      </c>
    </row>
    <row r="7" ht="27.6" customHeight="1" s="34">
      <c r="A7" s="6" t="inlineStr">
        <is>
          <t>Número de estudios primarios detectados</t>
        </is>
      </c>
      <c r="B7" s="7">
        <f>COUNTIF(Articulos_finales!Q:Q,"Incluir")</f>
        <v/>
      </c>
      <c r="C7" s="6" t="inlineStr">
        <is>
          <t>Detección automática por título/abstract/keywords disponibles.</t>
        </is>
      </c>
      <c r="D7" s="4" t="n"/>
      <c r="E7" s="59" t="inlineStr">
        <is>
          <t>Springer</t>
        </is>
      </c>
      <c r="F7" s="59">
        <f>COUNTIF(Articulos_finales!B:B,"Springer")</f>
        <v/>
      </c>
      <c r="G7" s="59">
        <f>COUNTIFS(Articulos_finales!B:B,"Springer",Articulos_finales!Q:Q,"Incluir")</f>
        <v/>
      </c>
      <c r="H7" s="59">
        <f>COUNTIFS(Articulos_finales!B:B,"Springer",Articulos_finales!Q:Q,"Reserva")</f>
        <v/>
      </c>
    </row>
    <row r="8">
      <c r="A8" s="2" t="inlineStr">
        <is>
          <t>Número de artículos que pasaron el tamizaje</t>
        </is>
      </c>
      <c r="B8" s="3">
        <f>COUNTIF(Articulos_finales!Q:Q,"Reserva")</f>
        <v/>
      </c>
      <c r="C8" s="2" t="inlineStr">
        <is>
          <t>Registros mantenidos con alineación media o alta.</t>
        </is>
      </c>
      <c r="D8" s="4" t="n"/>
      <c r="E8" s="60" t="inlineStr">
        <is>
          <t>Science Direct</t>
        </is>
      </c>
      <c r="F8" s="60">
        <f>COUNTIF(Articulos_finales!B:B,"Science Direct")</f>
        <v/>
      </c>
      <c r="G8" s="60">
        <f>COUNTIFS(Articulos_finales!B:B,"Science Direct",Articulos_finales!Q:Q,"Incluir")</f>
        <v/>
      </c>
      <c r="H8" s="60">
        <f>COUNTIFS(Articulos_finales!B:B,"Science Direct",Articulos_finales!Q:Q,"Reserva")</f>
        <v/>
      </c>
    </row>
    <row r="9">
      <c r="A9" s="6" t="inlineStr">
        <is>
          <t>Número de artículos de alta calidad</t>
        </is>
      </c>
      <c r="B9" s="7">
        <f>COUNTIF(Calidad_articulos!O:O,"Alta calidad")</f>
        <v/>
      </c>
      <c r="C9" s="6" t="inlineStr">
        <is>
          <t>Artículos con 16 a 20 puntos.</t>
        </is>
      </c>
      <c r="D9" s="4" t="n"/>
      <c r="E9" s="4" t="n"/>
      <c r="F9" s="4" t="n"/>
      <c r="G9" s="4" t="n"/>
      <c r="H9" s="4" t="n"/>
    </row>
    <row r="10">
      <c r="A10" s="2" t="inlineStr">
        <is>
          <t>Tema adaptado</t>
        </is>
      </c>
      <c r="B10" s="3" t="inlineStr">
        <is>
          <t>Hojas de aguacate, enfermedades/plagas foliares, IA, visión por computador, UAV y app móvil.</t>
        </is>
      </c>
      <c r="C10" s="2" t="inlineStr">
        <is>
          <t>Artículos incluidos o en reserva en la selección final.</t>
        </is>
      </c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61" t="inlineStr">
        <is>
          <t>Principales patrones encontrados</t>
        </is>
      </c>
      <c r="B12" s="40" t="n"/>
      <c r="C12" s="4" t="n"/>
      <c r="D12" s="4" t="n"/>
      <c r="E12" s="4" t="n"/>
      <c r="F12" s="4" t="n"/>
      <c r="G12" s="4" t="n"/>
      <c r="H12" s="4" t="n"/>
    </row>
    <row r="13" ht="48" customHeight="1" s="34">
      <c r="A13" s="42" t="inlineStr">
        <is>
          <t>(Completa al final: principales patrones que encontraste en los artículos.)</t>
        </is>
      </c>
    </row>
    <row r="14" ht="7.95" customHeight="1" s="34">
      <c r="A14" s="40" t="n"/>
      <c r="B14" s="40" t="n"/>
      <c r="C14" s="40" t="n"/>
      <c r="D14" s="40" t="n"/>
      <c r="E14" s="40" t="n"/>
      <c r="F14" s="40" t="n"/>
      <c r="G14" s="40" t="n"/>
      <c r="H14" s="40" t="n"/>
    </row>
    <row r="15">
      <c r="A15" s="61" t="inlineStr">
        <is>
          <t>Principales técnicas de IA identificadas</t>
        </is>
      </c>
      <c r="B15" s="40" t="n"/>
      <c r="C15" s="4" t="n"/>
      <c r="D15" s="4" t="n"/>
      <c r="E15" s="4" t="n"/>
      <c r="F15" s="4" t="n"/>
      <c r="G15" s="4" t="n"/>
      <c r="H15" s="4" t="n"/>
    </row>
    <row r="16" ht="48" customHeight="1" s="34">
      <c r="A16" s="42" t="inlineStr">
        <is>
          <t>(Completa: principales grupos/patógenos y métodos de detección identificados.)</t>
        </is>
      </c>
    </row>
    <row r="17" ht="7.95" customHeight="1" s="34">
      <c r="A17" s="40" t="n"/>
      <c r="B17" s="40" t="n"/>
      <c r="C17" s="40" t="n"/>
      <c r="D17" s="40" t="n"/>
      <c r="E17" s="40" t="n"/>
      <c r="F17" s="40" t="n"/>
      <c r="G17" s="40" t="n"/>
      <c r="H17" s="40" t="n"/>
    </row>
    <row r="18">
      <c r="A18" s="61" t="inlineStr">
        <is>
          <t>Principales enfoques de HCI/UX identificados</t>
        </is>
      </c>
      <c r="B18" s="40" t="n"/>
      <c r="C18" s="4" t="n"/>
      <c r="D18" s="4" t="n"/>
      <c r="E18" s="4" t="n"/>
      <c r="F18" s="4" t="n"/>
      <c r="G18" s="4" t="n"/>
      <c r="H18" s="4" t="n"/>
    </row>
    <row r="19" ht="48" customHeight="1" s="34">
      <c r="A19" s="42" t="inlineStr">
        <is>
          <t>(Completa: principales síntomas/enfermedades del tallo identificados.)</t>
        </is>
      </c>
    </row>
    <row r="20" ht="7.95" customHeight="1" s="34">
      <c r="A20" s="40" t="n"/>
      <c r="B20" s="40" t="n"/>
      <c r="C20" s="40" t="n"/>
      <c r="D20" s="40" t="n"/>
      <c r="E20" s="40" t="n"/>
      <c r="F20" s="40" t="n"/>
      <c r="G20" s="40" t="n"/>
      <c r="H20" s="40" t="n"/>
    </row>
    <row r="21">
      <c r="A21" s="61" t="inlineStr">
        <is>
          <t>Vacíos detectados en la literatura</t>
        </is>
      </c>
      <c r="B21" s="40" t="n"/>
      <c r="C21" s="4" t="n"/>
      <c r="D21" s="4" t="n"/>
      <c r="E21" s="4" t="n"/>
      <c r="F21" s="4" t="n"/>
      <c r="G21" s="4" t="n"/>
      <c r="H21" s="4" t="n"/>
    </row>
    <row r="22" ht="48" customHeight="1" s="34">
      <c r="A22" s="39" t="inlineStr">
        <is>
          <t>(Completa: vacíos que detectaste en la literatura.)</t>
        </is>
      </c>
    </row>
    <row r="23" ht="7.95" customHeight="1" s="34">
      <c r="A23" s="40" t="n"/>
      <c r="B23" s="40" t="n"/>
      <c r="C23" s="40" t="n"/>
      <c r="D23" s="40" t="n"/>
      <c r="E23" s="40" t="n"/>
      <c r="F23" s="40" t="n"/>
      <c r="G23" s="40" t="n"/>
      <c r="H23" s="40" t="n"/>
    </row>
    <row r="24">
      <c r="A24" s="61" t="inlineStr">
        <is>
          <t>Recomendación final</t>
        </is>
      </c>
      <c r="B24" s="40" t="n"/>
      <c r="C24" s="4" t="n"/>
      <c r="D24" s="4" t="n"/>
      <c r="E24" s="4" t="n"/>
      <c r="F24" s="4" t="n"/>
      <c r="G24" s="4" t="n"/>
      <c r="H24" s="4" t="n"/>
    </row>
    <row r="25" ht="48" customHeight="1" s="34">
      <c r="A25" s="42" t="inlineStr">
        <is>
          <t>(Completa: tu recomendación final.)</t>
        </is>
      </c>
    </row>
    <row r="26" ht="7.95" customHeight="1" s="34">
      <c r="A26" s="40" t="n"/>
      <c r="B26" s="40" t="n"/>
      <c r="C26" s="40" t="n"/>
      <c r="D26" s="40" t="n"/>
      <c r="E26" s="40" t="n"/>
      <c r="F26" s="40" t="n"/>
      <c r="G26" s="40" t="n"/>
      <c r="H26" s="40" t="n"/>
    </row>
  </sheetData>
  <mergeCells count="11">
    <mergeCell ref="A22:H23"/>
    <mergeCell ref="A24:B24"/>
    <mergeCell ref="A25:H26"/>
    <mergeCell ref="A13:H14"/>
    <mergeCell ref="A15:B15"/>
    <mergeCell ref="A21:B21"/>
    <mergeCell ref="A16:H17"/>
    <mergeCell ref="A19:H20"/>
    <mergeCell ref="A1:H1"/>
    <mergeCell ref="A18:B18"/>
    <mergeCell ref="A12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2026-09-16T15:40:04Z</dcterms:created>
  <dcterms:modified xmlns:dcterms="http://purl.org/dc/terms/" xmlns:xsi="http://www.w3.org/2001/XMLSchema-instance" xsi:type="dcterms:W3CDTF">2026-09-21T15:58:52Z</dcterms:modified>
  <cp:lastModifiedBy>ARIEL JOSE LLUMIQUINGA �ACATO</cp:lastModifiedBy>
</cp:coreProperties>
</file>