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Downloads\metodologia\tallos\SLR_SmartAgriculture\03_Matriz_SLR\"/>
    </mc:Choice>
  </mc:AlternateContent>
  <xr:revisionPtr revIDLastSave="0" documentId="13_ncr:1_{A9D07BE0-0274-4863-80DB-F13E3CBA7419}" xr6:coauthVersionLast="47" xr6:coauthVersionMax="47" xr10:uidLastSave="{00000000-0000-0000-0000-000000000000}"/>
  <bookViews>
    <workbookView xWindow="-108" yWindow="-108" windowWidth="23256" windowHeight="12456" firstSheet="4" activeTab="8" xr2:uid="{00000000-000D-0000-FFFF-FFFF00000000}"/>
  </bookViews>
  <sheets>
    <sheet name="Guia_avance" sheetId="1" r:id="rId1"/>
    <sheet name="Protocolo" sheetId="2" r:id="rId2"/>
    <sheet name="Cadenas_de_busqueda" sheetId="3" r:id="rId3"/>
    <sheet name="Base_consolidada" sheetId="4" r:id="rId4"/>
    <sheet name="Duplicados_y_exclusion" sheetId="5" r:id="rId5"/>
    <sheet name="Tamizaje_Tit_Abs_Keys" sheetId="6" r:id="rId6"/>
    <sheet name="Texto_completo" sheetId="7" r:id="rId7"/>
    <sheet name="Calidad_articulos" sheetId="8" r:id="rId8"/>
    <sheet name="Articulos_finales" sheetId="9" r:id="rId9"/>
    <sheet name="Articulos_finales_ok" sheetId="10" r:id="rId10"/>
    <sheet name="PRISMA" sheetId="11" r:id="rId11"/>
    <sheet name="Resumen_ejecutivo" sheetId="12" r:id="rId12"/>
  </sheets>
  <definedNames>
    <definedName name="_xlnm._FilterDatabase" localSheetId="8" hidden="1">Articulos_finales!$A$3:$R$32</definedName>
    <definedName name="_xlnm._FilterDatabase" localSheetId="3" hidden="1">Base_consolidada!$A$3:$L$591</definedName>
    <definedName name="_xlnm._FilterDatabase" localSheetId="7" hidden="1">Calidad_articulos!$A$3:$P$201</definedName>
    <definedName name="_xlnm._FilterDatabase" localSheetId="4" hidden="1">Duplicados_y_exclusion!$A$3:$I$591</definedName>
    <definedName name="_xlnm._FilterDatabase" localSheetId="5" hidden="1">Tamizaje_Tit_Abs_Keys!$A$3:$P$58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H8" i="12"/>
  <c r="G8" i="12"/>
  <c r="F8" i="12"/>
  <c r="B8" i="12"/>
  <c r="F7" i="12"/>
  <c r="B7" i="12"/>
  <c r="H6" i="12"/>
  <c r="G6" i="12"/>
  <c r="F6" i="12"/>
  <c r="B6" i="12"/>
  <c r="H5" i="12"/>
  <c r="G5" i="12"/>
  <c r="F5" i="12"/>
  <c r="B5" i="12"/>
  <c r="J4" i="12" s="1"/>
  <c r="F4" i="12"/>
  <c r="B4" i="12"/>
  <c r="H31" i="11"/>
  <c r="H26" i="11"/>
  <c r="H25" i="11"/>
  <c r="H24" i="11"/>
  <c r="H23" i="11"/>
  <c r="H22" i="11"/>
  <c r="E8" i="11" s="1"/>
  <c r="H21" i="11"/>
  <c r="C8" i="11" s="1"/>
  <c r="H20" i="11"/>
  <c r="H19" i="11"/>
  <c r="H18" i="11"/>
  <c r="H17" i="11"/>
  <c r="H16" i="11"/>
  <c r="H15" i="11"/>
  <c r="H14" i="11"/>
  <c r="H13" i="11"/>
  <c r="H11" i="11"/>
  <c r="C10" i="11"/>
  <c r="H9" i="11"/>
  <c r="H7" i="11"/>
  <c r="H6" i="11"/>
  <c r="C6" i="11"/>
  <c r="H5" i="11"/>
  <c r="H8" i="11" s="1"/>
  <c r="AB11" i="9"/>
  <c r="AB10" i="9"/>
  <c r="AB9" i="9"/>
  <c r="AB4" i="9"/>
  <c r="N303" i="8"/>
  <c r="O303" i="8" s="1"/>
  <c r="N302" i="8"/>
  <c r="O302" i="8" s="1"/>
  <c r="N301" i="8"/>
  <c r="O301" i="8" s="1"/>
  <c r="N300" i="8"/>
  <c r="O300" i="8" s="1"/>
  <c r="N299" i="8"/>
  <c r="O299" i="8" s="1"/>
  <c r="N298" i="8"/>
  <c r="O298" i="8" s="1"/>
  <c r="N297" i="8"/>
  <c r="O297" i="8" s="1"/>
  <c r="N296" i="8"/>
  <c r="O296" i="8" s="1"/>
  <c r="N295" i="8"/>
  <c r="O295" i="8" s="1"/>
  <c r="N294" i="8"/>
  <c r="O294" i="8" s="1"/>
  <c r="N293" i="8"/>
  <c r="O293" i="8" s="1"/>
  <c r="N292" i="8"/>
  <c r="O292" i="8" s="1"/>
  <c r="N291" i="8"/>
  <c r="O291" i="8" s="1"/>
  <c r="N290" i="8"/>
  <c r="O290" i="8" s="1"/>
  <c r="N289" i="8"/>
  <c r="O289" i="8" s="1"/>
  <c r="O288" i="8"/>
  <c r="N288" i="8"/>
  <c r="N287" i="8"/>
  <c r="O287" i="8" s="1"/>
  <c r="N286" i="8"/>
  <c r="O286" i="8" s="1"/>
  <c r="N285" i="8"/>
  <c r="O285" i="8" s="1"/>
  <c r="N284" i="8"/>
  <c r="O284" i="8" s="1"/>
  <c r="N283" i="8"/>
  <c r="O283" i="8" s="1"/>
  <c r="N282" i="8"/>
  <c r="O282" i="8" s="1"/>
  <c r="N281" i="8"/>
  <c r="O281" i="8" s="1"/>
  <c r="N280" i="8"/>
  <c r="O280" i="8" s="1"/>
  <c r="N279" i="8"/>
  <c r="O279" i="8" s="1"/>
  <c r="N278" i="8"/>
  <c r="O278" i="8" s="1"/>
  <c r="N277" i="8"/>
  <c r="O277" i="8" s="1"/>
  <c r="N276" i="8"/>
  <c r="O276" i="8" s="1"/>
  <c r="N275" i="8"/>
  <c r="O275" i="8" s="1"/>
  <c r="N274" i="8"/>
  <c r="O274" i="8" s="1"/>
  <c r="N273" i="8"/>
  <c r="O273" i="8" s="1"/>
  <c r="N272" i="8"/>
  <c r="O272" i="8" s="1"/>
  <c r="N271" i="8"/>
  <c r="O271" i="8" s="1"/>
  <c r="O270" i="8"/>
  <c r="N270" i="8"/>
  <c r="N269" i="8"/>
  <c r="O269" i="8" s="1"/>
  <c r="N268" i="8"/>
  <c r="O268" i="8" s="1"/>
  <c r="N267" i="8"/>
  <c r="O267" i="8" s="1"/>
  <c r="N266" i="8"/>
  <c r="O266" i="8" s="1"/>
  <c r="N265" i="8"/>
  <c r="O265" i="8" s="1"/>
  <c r="N264" i="8"/>
  <c r="O264" i="8" s="1"/>
  <c r="N263" i="8"/>
  <c r="O263" i="8" s="1"/>
  <c r="N262" i="8"/>
  <c r="O262" i="8" s="1"/>
  <c r="N261" i="8"/>
  <c r="O261" i="8" s="1"/>
  <c r="N260" i="8"/>
  <c r="O260" i="8" s="1"/>
  <c r="N259" i="8"/>
  <c r="O259" i="8" s="1"/>
  <c r="N258" i="8"/>
  <c r="O258" i="8" s="1"/>
  <c r="N257" i="8"/>
  <c r="O257" i="8" s="1"/>
  <c r="N256" i="8"/>
  <c r="O256" i="8" s="1"/>
  <c r="N255" i="8"/>
  <c r="O255" i="8" s="1"/>
  <c r="N254" i="8"/>
  <c r="O254" i="8" s="1"/>
  <c r="N253" i="8"/>
  <c r="O253" i="8" s="1"/>
  <c r="O252" i="8"/>
  <c r="N252" i="8"/>
  <c r="N251" i="8"/>
  <c r="O251" i="8" s="1"/>
  <c r="N250" i="8"/>
  <c r="O250" i="8" s="1"/>
  <c r="N249" i="8"/>
  <c r="O249" i="8" s="1"/>
  <c r="N248" i="8"/>
  <c r="O248" i="8" s="1"/>
  <c r="N247" i="8"/>
  <c r="O247" i="8" s="1"/>
  <c r="N246" i="8"/>
  <c r="O246" i="8" s="1"/>
  <c r="N245" i="8"/>
  <c r="O245" i="8" s="1"/>
  <c r="N244" i="8"/>
  <c r="O244" i="8" s="1"/>
  <c r="N243" i="8"/>
  <c r="O243" i="8" s="1"/>
  <c r="N242" i="8"/>
  <c r="O242" i="8" s="1"/>
  <c r="N241" i="8"/>
  <c r="O241" i="8" s="1"/>
  <c r="N240" i="8"/>
  <c r="O240" i="8" s="1"/>
  <c r="N239" i="8"/>
  <c r="O239" i="8" s="1"/>
  <c r="N238" i="8"/>
  <c r="O238" i="8" s="1"/>
  <c r="N237" i="8"/>
  <c r="O237" i="8" s="1"/>
  <c r="N236" i="8"/>
  <c r="O236" i="8" s="1"/>
  <c r="N235" i="8"/>
  <c r="O235" i="8" s="1"/>
  <c r="O234" i="8"/>
  <c r="N234" i="8"/>
  <c r="N233" i="8"/>
  <c r="O233" i="8" s="1"/>
  <c r="N232" i="8"/>
  <c r="O232" i="8" s="1"/>
  <c r="N231" i="8"/>
  <c r="O231" i="8" s="1"/>
  <c r="N230" i="8"/>
  <c r="O230" i="8" s="1"/>
  <c r="N229" i="8"/>
  <c r="O229" i="8" s="1"/>
  <c r="N228" i="8"/>
  <c r="O228" i="8" s="1"/>
  <c r="N227" i="8"/>
  <c r="O227" i="8" s="1"/>
  <c r="N226" i="8"/>
  <c r="O226" i="8" s="1"/>
  <c r="N225" i="8"/>
  <c r="O225" i="8" s="1"/>
  <c r="N224" i="8"/>
  <c r="O224" i="8" s="1"/>
  <c r="N223" i="8"/>
  <c r="O223" i="8" s="1"/>
  <c r="N222" i="8"/>
  <c r="O222" i="8" s="1"/>
  <c r="N221" i="8"/>
  <c r="O221" i="8" s="1"/>
  <c r="N220" i="8"/>
  <c r="O220" i="8" s="1"/>
  <c r="N219" i="8"/>
  <c r="O219" i="8" s="1"/>
  <c r="N218" i="8"/>
  <c r="O218" i="8" s="1"/>
  <c r="N217" i="8"/>
  <c r="O217" i="8" s="1"/>
  <c r="O216" i="8"/>
  <c r="N216" i="8"/>
  <c r="N215" i="8"/>
  <c r="O215" i="8" s="1"/>
  <c r="N214" i="8"/>
  <c r="O214" i="8" s="1"/>
  <c r="N213" i="8"/>
  <c r="O213" i="8" s="1"/>
  <c r="N212" i="8"/>
  <c r="O212" i="8" s="1"/>
  <c r="N211" i="8"/>
  <c r="O211" i="8" s="1"/>
  <c r="N210" i="8"/>
  <c r="O210" i="8" s="1"/>
  <c r="N209" i="8"/>
  <c r="O209" i="8" s="1"/>
  <c r="N208" i="8"/>
  <c r="O208" i="8" s="1"/>
  <c r="N207" i="8"/>
  <c r="O207" i="8" s="1"/>
  <c r="N206" i="8"/>
  <c r="O206" i="8" s="1"/>
  <c r="N205" i="8"/>
  <c r="O205" i="8" s="1"/>
  <c r="N204" i="8"/>
  <c r="O204" i="8" s="1"/>
  <c r="N203" i="8"/>
  <c r="O203" i="8" s="1"/>
  <c r="N202" i="8"/>
  <c r="O202" i="8" s="1"/>
  <c r="N201" i="8"/>
  <c r="O201" i="8" s="1"/>
  <c r="N200" i="8"/>
  <c r="O200" i="8" s="1"/>
  <c r="N199" i="8"/>
  <c r="O199" i="8" s="1"/>
  <c r="O198" i="8"/>
  <c r="N198" i="8"/>
  <c r="N197" i="8"/>
  <c r="O197" i="8" s="1"/>
  <c r="N196" i="8"/>
  <c r="O196" i="8" s="1"/>
  <c r="N195" i="8"/>
  <c r="O195" i="8" s="1"/>
  <c r="N194" i="8"/>
  <c r="O194" i="8" s="1"/>
  <c r="N193" i="8"/>
  <c r="O193" i="8" s="1"/>
  <c r="N192" i="8"/>
  <c r="O192" i="8" s="1"/>
  <c r="N191" i="8"/>
  <c r="O191" i="8" s="1"/>
  <c r="N190" i="8"/>
  <c r="O190" i="8" s="1"/>
  <c r="N189" i="8"/>
  <c r="O189" i="8" s="1"/>
  <c r="N188" i="8"/>
  <c r="O188" i="8" s="1"/>
  <c r="N187" i="8"/>
  <c r="O187" i="8" s="1"/>
  <c r="N186" i="8"/>
  <c r="O186" i="8" s="1"/>
  <c r="N185" i="8"/>
  <c r="O185" i="8" s="1"/>
  <c r="N184" i="8"/>
  <c r="O184" i="8" s="1"/>
  <c r="N183" i="8"/>
  <c r="O183" i="8" s="1"/>
  <c r="N182" i="8"/>
  <c r="O182" i="8" s="1"/>
  <c r="N181" i="8"/>
  <c r="O181" i="8" s="1"/>
  <c r="O180" i="8"/>
  <c r="N180" i="8"/>
  <c r="N179" i="8"/>
  <c r="O179" i="8" s="1"/>
  <c r="N178" i="8"/>
  <c r="O178" i="8" s="1"/>
  <c r="N177" i="8"/>
  <c r="O177" i="8" s="1"/>
  <c r="N176" i="8"/>
  <c r="O176" i="8" s="1"/>
  <c r="N175" i="8"/>
  <c r="O175" i="8" s="1"/>
  <c r="N174" i="8"/>
  <c r="O174" i="8" s="1"/>
  <c r="N173" i="8"/>
  <c r="O173" i="8" s="1"/>
  <c r="N172" i="8"/>
  <c r="O172" i="8" s="1"/>
  <c r="N171" i="8"/>
  <c r="O171" i="8" s="1"/>
  <c r="N170" i="8"/>
  <c r="O170" i="8" s="1"/>
  <c r="N169" i="8"/>
  <c r="O169" i="8" s="1"/>
  <c r="N168" i="8"/>
  <c r="O168" i="8" s="1"/>
  <c r="N167" i="8"/>
  <c r="O167" i="8" s="1"/>
  <c r="N166" i="8"/>
  <c r="O166" i="8" s="1"/>
  <c r="N165" i="8"/>
  <c r="O165" i="8" s="1"/>
  <c r="N164" i="8"/>
  <c r="O164" i="8" s="1"/>
  <c r="N163" i="8"/>
  <c r="O163" i="8" s="1"/>
  <c r="O162" i="8"/>
  <c r="N162" i="8"/>
  <c r="N161" i="8"/>
  <c r="O161" i="8" s="1"/>
  <c r="N160" i="8"/>
  <c r="O160" i="8" s="1"/>
  <c r="N159" i="8"/>
  <c r="O159" i="8" s="1"/>
  <c r="N158" i="8"/>
  <c r="O158" i="8" s="1"/>
  <c r="N157" i="8"/>
  <c r="O157" i="8" s="1"/>
  <c r="N156" i="8"/>
  <c r="O156" i="8" s="1"/>
  <c r="N155" i="8"/>
  <c r="O155" i="8" s="1"/>
  <c r="N154" i="8"/>
  <c r="O154" i="8" s="1"/>
  <c r="N153" i="8"/>
  <c r="O153" i="8" s="1"/>
  <c r="N152" i="8"/>
  <c r="O152" i="8" s="1"/>
  <c r="N151" i="8"/>
  <c r="O151" i="8" s="1"/>
  <c r="N150" i="8"/>
  <c r="O150" i="8" s="1"/>
  <c r="N149" i="8"/>
  <c r="O149" i="8" s="1"/>
  <c r="N148" i="8"/>
  <c r="O148" i="8" s="1"/>
  <c r="N147" i="8"/>
  <c r="O147" i="8" s="1"/>
  <c r="N146" i="8"/>
  <c r="O146" i="8" s="1"/>
  <c r="N145" i="8"/>
  <c r="O145" i="8" s="1"/>
  <c r="O144" i="8"/>
  <c r="N144" i="8"/>
  <c r="N143" i="8"/>
  <c r="O143" i="8" s="1"/>
  <c r="N142" i="8"/>
  <c r="O142" i="8" s="1"/>
  <c r="N141" i="8"/>
  <c r="O141" i="8" s="1"/>
  <c r="N140" i="8"/>
  <c r="O140" i="8" s="1"/>
  <c r="N139" i="8"/>
  <c r="O139" i="8" s="1"/>
  <c r="N138" i="8"/>
  <c r="O138" i="8" s="1"/>
  <c r="N137" i="8"/>
  <c r="O137" i="8" s="1"/>
  <c r="N136" i="8"/>
  <c r="O136" i="8" s="1"/>
  <c r="N135" i="8"/>
  <c r="O135" i="8" s="1"/>
  <c r="N134" i="8"/>
  <c r="O134" i="8" s="1"/>
  <c r="N133" i="8"/>
  <c r="O133" i="8" s="1"/>
  <c r="N132" i="8"/>
  <c r="O132" i="8" s="1"/>
  <c r="N131" i="8"/>
  <c r="O131" i="8" s="1"/>
  <c r="N130" i="8"/>
  <c r="O130" i="8" s="1"/>
  <c r="N129" i="8"/>
  <c r="O129" i="8" s="1"/>
  <c r="N128" i="8"/>
  <c r="O128" i="8" s="1"/>
  <c r="N127" i="8"/>
  <c r="O127" i="8" s="1"/>
  <c r="O126" i="8"/>
  <c r="N126" i="8"/>
  <c r="N125" i="8"/>
  <c r="O125" i="8" s="1"/>
  <c r="N124" i="8"/>
  <c r="O124" i="8" s="1"/>
  <c r="N123" i="8"/>
  <c r="O123" i="8" s="1"/>
  <c r="N122" i="8"/>
  <c r="O122" i="8" s="1"/>
  <c r="N121" i="8"/>
  <c r="O121" i="8" s="1"/>
  <c r="N120" i="8"/>
  <c r="O120" i="8" s="1"/>
  <c r="N119" i="8"/>
  <c r="O119" i="8" s="1"/>
  <c r="N118" i="8"/>
  <c r="O118" i="8" s="1"/>
  <c r="N117" i="8"/>
  <c r="O117" i="8" s="1"/>
  <c r="N116" i="8"/>
  <c r="O116" i="8" s="1"/>
  <c r="N115" i="8"/>
  <c r="O115" i="8" s="1"/>
  <c r="N114" i="8"/>
  <c r="O114" i="8" s="1"/>
  <c r="N113" i="8"/>
  <c r="O113" i="8" s="1"/>
  <c r="N112" i="8"/>
  <c r="O112" i="8" s="1"/>
  <c r="N111" i="8"/>
  <c r="O111" i="8" s="1"/>
  <c r="N110" i="8"/>
  <c r="O110" i="8" s="1"/>
  <c r="N109" i="8"/>
  <c r="O109" i="8" s="1"/>
  <c r="O108" i="8"/>
  <c r="N108" i="8"/>
  <c r="N107" i="8"/>
  <c r="O107" i="8" s="1"/>
  <c r="N106" i="8"/>
  <c r="O106" i="8" s="1"/>
  <c r="N105" i="8"/>
  <c r="O105" i="8" s="1"/>
  <c r="N104" i="8"/>
  <c r="O104" i="8" s="1"/>
  <c r="N103" i="8"/>
  <c r="O103" i="8" s="1"/>
  <c r="N102" i="8"/>
  <c r="O102" i="8" s="1"/>
  <c r="N101" i="8"/>
  <c r="O101" i="8" s="1"/>
  <c r="N100" i="8"/>
  <c r="O100" i="8" s="1"/>
  <c r="N99" i="8"/>
  <c r="O99" i="8" s="1"/>
  <c r="N98" i="8"/>
  <c r="O98" i="8" s="1"/>
  <c r="N97" i="8"/>
  <c r="O97" i="8" s="1"/>
  <c r="N96" i="8"/>
  <c r="O96" i="8" s="1"/>
  <c r="N95" i="8"/>
  <c r="O95" i="8" s="1"/>
  <c r="N94" i="8"/>
  <c r="O94" i="8" s="1"/>
  <c r="N93" i="8"/>
  <c r="O93" i="8" s="1"/>
  <c r="N92" i="8"/>
  <c r="O92" i="8" s="1"/>
  <c r="N91" i="8"/>
  <c r="O91" i="8" s="1"/>
  <c r="O90" i="8"/>
  <c r="N90" i="8"/>
  <c r="N89" i="8"/>
  <c r="O89" i="8" s="1"/>
  <c r="N88" i="8"/>
  <c r="O88" i="8" s="1"/>
  <c r="N87" i="8"/>
  <c r="O87" i="8" s="1"/>
  <c r="N86" i="8"/>
  <c r="O86" i="8" s="1"/>
  <c r="N85" i="8"/>
  <c r="O85" i="8" s="1"/>
  <c r="N84" i="8"/>
  <c r="O84" i="8" s="1"/>
  <c r="N83" i="8"/>
  <c r="O83" i="8" s="1"/>
  <c r="N82" i="8"/>
  <c r="O82" i="8" s="1"/>
  <c r="N81" i="8"/>
  <c r="O81" i="8" s="1"/>
  <c r="N80" i="8"/>
  <c r="O80" i="8" s="1"/>
  <c r="N79" i="8"/>
  <c r="O79" i="8" s="1"/>
  <c r="N78" i="8"/>
  <c r="O78" i="8" s="1"/>
  <c r="N77" i="8"/>
  <c r="O77" i="8" s="1"/>
  <c r="N76" i="8"/>
  <c r="O76" i="8" s="1"/>
  <c r="N75" i="8"/>
  <c r="O75" i="8" s="1"/>
  <c r="N74" i="8"/>
  <c r="O74" i="8" s="1"/>
  <c r="N73" i="8"/>
  <c r="O73" i="8" s="1"/>
  <c r="O72" i="8"/>
  <c r="N72" i="8"/>
  <c r="N71" i="8"/>
  <c r="O71" i="8" s="1"/>
  <c r="N70" i="8"/>
  <c r="O70" i="8" s="1"/>
  <c r="N69" i="8"/>
  <c r="O69" i="8" s="1"/>
  <c r="N68" i="8"/>
  <c r="O68" i="8" s="1"/>
  <c r="N67" i="8"/>
  <c r="O67" i="8" s="1"/>
  <c r="N66" i="8"/>
  <c r="O66" i="8" s="1"/>
  <c r="N65" i="8"/>
  <c r="O65" i="8" s="1"/>
  <c r="N64" i="8"/>
  <c r="O64" i="8" s="1"/>
  <c r="N63" i="8"/>
  <c r="O63" i="8" s="1"/>
  <c r="N62" i="8"/>
  <c r="O62" i="8" s="1"/>
  <c r="N61" i="8"/>
  <c r="O61" i="8" s="1"/>
  <c r="N60" i="8"/>
  <c r="O60" i="8" s="1"/>
  <c r="N59" i="8"/>
  <c r="O59" i="8" s="1"/>
  <c r="N58" i="8"/>
  <c r="O58" i="8" s="1"/>
  <c r="N57" i="8"/>
  <c r="O57" i="8" s="1"/>
  <c r="N56" i="8"/>
  <c r="O56" i="8" s="1"/>
  <c r="N55" i="8"/>
  <c r="O55" i="8" s="1"/>
  <c r="O54" i="8"/>
  <c r="N54" i="8"/>
  <c r="N53" i="8"/>
  <c r="O53" i="8" s="1"/>
  <c r="N52" i="8"/>
  <c r="O52" i="8" s="1"/>
  <c r="N51" i="8"/>
  <c r="O51" i="8" s="1"/>
  <c r="N50" i="8"/>
  <c r="O50" i="8" s="1"/>
  <c r="N49" i="8"/>
  <c r="O49" i="8" s="1"/>
  <c r="N48" i="8"/>
  <c r="O48" i="8" s="1"/>
  <c r="N47" i="8"/>
  <c r="O47" i="8" s="1"/>
  <c r="N46" i="8"/>
  <c r="O46" i="8" s="1"/>
  <c r="N45" i="8"/>
  <c r="O45" i="8" s="1"/>
  <c r="N44" i="8"/>
  <c r="O44" i="8" s="1"/>
  <c r="N43" i="8"/>
  <c r="O43" i="8" s="1"/>
  <c r="N42" i="8"/>
  <c r="O42" i="8" s="1"/>
  <c r="N41" i="8"/>
  <c r="O41" i="8" s="1"/>
  <c r="N40" i="8"/>
  <c r="O40" i="8" s="1"/>
  <c r="N39" i="8"/>
  <c r="O39" i="8" s="1"/>
  <c r="N38" i="8"/>
  <c r="O38" i="8" s="1"/>
  <c r="N37" i="8"/>
  <c r="O37" i="8" s="1"/>
  <c r="O36" i="8"/>
  <c r="N36" i="8"/>
  <c r="N35" i="8"/>
  <c r="O35" i="8" s="1"/>
  <c r="N34" i="8"/>
  <c r="O34" i="8" s="1"/>
  <c r="N33" i="8"/>
  <c r="O33" i="8" s="1"/>
  <c r="N32" i="8"/>
  <c r="O32" i="8" s="1"/>
  <c r="N31" i="8"/>
  <c r="O31" i="8" s="1"/>
  <c r="N30" i="8"/>
  <c r="O30" i="8" s="1"/>
  <c r="N29" i="8"/>
  <c r="O29" i="8" s="1"/>
  <c r="N28" i="8"/>
  <c r="O28" i="8" s="1"/>
  <c r="N27" i="8"/>
  <c r="O27" i="8" s="1"/>
  <c r="N26" i="8"/>
  <c r="O26" i="8" s="1"/>
  <c r="N25" i="8"/>
  <c r="O25" i="8" s="1"/>
  <c r="N24" i="8"/>
  <c r="O24" i="8" s="1"/>
  <c r="N23" i="8"/>
  <c r="O23" i="8" s="1"/>
  <c r="N22" i="8"/>
  <c r="O22" i="8" s="1"/>
  <c r="N21" i="8"/>
  <c r="O21" i="8" s="1"/>
  <c r="P21" i="9" s="1"/>
  <c r="Q21" i="9" s="1"/>
  <c r="N20" i="8"/>
  <c r="O20" i="8" s="1"/>
  <c r="P20" i="9" s="1"/>
  <c r="Q20" i="9" s="1"/>
  <c r="N19" i="8"/>
  <c r="U13" i="8" s="1"/>
  <c r="O18" i="8"/>
  <c r="P18" i="9" s="1"/>
  <c r="Q18" i="9" s="1"/>
  <c r="N18" i="8"/>
  <c r="N17" i="8"/>
  <c r="O17" i="8" s="1"/>
  <c r="P17" i="9" s="1"/>
  <c r="Q17" i="9" s="1"/>
  <c r="N16" i="8"/>
  <c r="O16" i="8" s="1"/>
  <c r="P16" i="9" s="1"/>
  <c r="Q16" i="9" s="1"/>
  <c r="N15" i="8"/>
  <c r="O15" i="8" s="1"/>
  <c r="P15" i="9" s="1"/>
  <c r="Q15" i="9" s="1"/>
  <c r="N14" i="8"/>
  <c r="O14" i="8" s="1"/>
  <c r="P14" i="9" s="1"/>
  <c r="Q14" i="9" s="1"/>
  <c r="N13" i="8"/>
  <c r="O13" i="8" s="1"/>
  <c r="P13" i="9" s="1"/>
  <c r="Q13" i="9" s="1"/>
  <c r="N12" i="8"/>
  <c r="O12" i="8" s="1"/>
  <c r="P12" i="9" s="1"/>
  <c r="Q12" i="9" s="1"/>
  <c r="U11" i="8"/>
  <c r="N11" i="8"/>
  <c r="O11" i="8" s="1"/>
  <c r="P11" i="9" s="1"/>
  <c r="Q11" i="9" s="1"/>
  <c r="N10" i="8"/>
  <c r="O10" i="8" s="1"/>
  <c r="P10" i="9" s="1"/>
  <c r="Q10" i="9" s="1"/>
  <c r="N9" i="8"/>
  <c r="O9" i="8" s="1"/>
  <c r="P9" i="9" s="1"/>
  <c r="Q9" i="9" s="1"/>
  <c r="U8" i="8"/>
  <c r="O8" i="8"/>
  <c r="P8" i="9" s="1"/>
  <c r="Q8" i="9" s="1"/>
  <c r="N8" i="8"/>
  <c r="N7" i="8"/>
  <c r="O7" i="8" s="1"/>
  <c r="P7" i="9" s="1"/>
  <c r="Q7" i="9" s="1"/>
  <c r="N6" i="8"/>
  <c r="O6" i="8" s="1"/>
  <c r="N5" i="8"/>
  <c r="U10" i="8" s="1"/>
  <c r="U4" i="8"/>
  <c r="O4" i="8"/>
  <c r="N4" i="8"/>
  <c r="L14" i="7"/>
  <c r="L13" i="7"/>
  <c r="L12" i="7"/>
  <c r="L11" i="7"/>
  <c r="L10" i="7"/>
  <c r="L9" i="7"/>
  <c r="L8" i="7"/>
  <c r="L7" i="7"/>
  <c r="L6" i="7"/>
  <c r="L5" i="7"/>
  <c r="L4" i="7"/>
  <c r="S18" i="6"/>
  <c r="S17" i="6"/>
  <c r="S16" i="6"/>
  <c r="S15" i="6"/>
  <c r="S13" i="6"/>
  <c r="S12" i="6"/>
  <c r="S11" i="6"/>
  <c r="S10" i="6"/>
  <c r="S9" i="6"/>
  <c r="S8" i="6"/>
  <c r="S7" i="6"/>
  <c r="S6" i="6"/>
  <c r="M17" i="5"/>
  <c r="M16" i="5"/>
  <c r="M15" i="5"/>
  <c r="M13" i="5"/>
  <c r="M12" i="5"/>
  <c r="M11" i="5"/>
  <c r="M10" i="5"/>
  <c r="M9" i="5"/>
  <c r="M8" i="5"/>
  <c r="M7" i="5"/>
  <c r="M6" i="5"/>
  <c r="M5" i="5"/>
  <c r="P10" i="4"/>
  <c r="P9" i="4"/>
  <c r="P8" i="4"/>
  <c r="P7" i="4"/>
  <c r="P6" i="4"/>
  <c r="P5" i="4"/>
  <c r="P4" i="4"/>
  <c r="H31" i="3"/>
  <c r="H28" i="3"/>
  <c r="H27" i="3"/>
  <c r="H26" i="3"/>
  <c r="H29" i="3" s="1"/>
  <c r="S19" i="6" l="1"/>
  <c r="L15" i="7"/>
  <c r="O5" i="8"/>
  <c r="U9" i="8" s="1"/>
  <c r="E6" i="11"/>
  <c r="K7" i="11"/>
  <c r="F9" i="12"/>
  <c r="B9" i="12"/>
  <c r="P6" i="9"/>
  <c r="Q6" i="9" s="1"/>
  <c r="U7" i="8"/>
  <c r="M4" i="5"/>
  <c r="M18" i="5" s="1"/>
  <c r="H32" i="3"/>
  <c r="H10" i="11"/>
  <c r="C4" i="11"/>
  <c r="H7" i="12"/>
  <c r="G7" i="12"/>
  <c r="U5" i="8"/>
  <c r="O19" i="8"/>
  <c r="P19" i="9" s="1"/>
  <c r="Q19" i="9" s="1"/>
  <c r="U6" i="8"/>
  <c r="K6" i="11"/>
  <c r="P5" i="9"/>
  <c r="Q5" i="9" s="1"/>
  <c r="K8" i="11"/>
  <c r="P4" i="9"/>
  <c r="Q4" i="9" s="1"/>
  <c r="K11" i="11" l="1"/>
  <c r="H12" i="11"/>
  <c r="B11" i="12"/>
  <c r="G4" i="12"/>
  <c r="G9" i="12" s="1"/>
  <c r="B44" i="10"/>
  <c r="B32" i="10"/>
  <c r="B38" i="10"/>
  <c r="B37" i="10"/>
  <c r="B43" i="10"/>
  <c r="B31" i="10"/>
  <c r="B42" i="10"/>
  <c r="AB7" i="9"/>
  <c r="B41" i="10"/>
  <c r="B40" i="10"/>
  <c r="B28" i="10"/>
  <c r="H30" i="11"/>
  <c r="B39" i="10"/>
  <c r="AB6" i="9"/>
  <c r="H27" i="11"/>
  <c r="H32" i="11" s="1"/>
  <c r="B36" i="10"/>
  <c r="AB5" i="9"/>
  <c r="AB12" i="9" s="1"/>
  <c r="B35" i="10"/>
  <c r="B29" i="10"/>
  <c r="H29" i="11"/>
  <c r="K10" i="11" s="1"/>
  <c r="B34" i="10"/>
  <c r="H28" i="11"/>
  <c r="H4" i="12"/>
  <c r="H9" i="12" s="1"/>
  <c r="B45" i="10"/>
  <c r="B33" i="10"/>
  <c r="AB8" i="9"/>
  <c r="B30" i="10"/>
  <c r="U12" i="8"/>
  <c r="K9" i="11" l="1"/>
  <c r="E10" i="11"/>
  <c r="C12" i="11"/>
  <c r="E4" i="11"/>
  <c r="K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Protocolo SLR</author>
  </authors>
  <commentList>
    <comment ref="D3" authorId="0" shapeId="0" xr:uid="{00000000-0006-0000-0700-000001000000}">
      <text>
        <r>
          <rPr>
            <sz val="11"/>
            <color theme="1"/>
            <rFont val="Calibri"/>
            <family val="2"/>
            <scheme val="minor"/>
          </rPr>
          <t>Q1: El objetivo o pregunta del estudio está claramente definido.
0 = no cumple | 1 = parcial | 2 = cumple bien</t>
        </r>
      </text>
    </comment>
    <comment ref="E3" authorId="0" shapeId="0" xr:uid="{00000000-0006-0000-0700-000002000000}">
      <text>
        <r>
          <rPr>
            <sz val="11"/>
            <color theme="1"/>
            <rFont val="Calibri"/>
            <family val="2"/>
            <scheme val="minor"/>
          </rPr>
          <t>Q2: Identifica el patógeno a nivel de especie (o al menos género) de forma clara.
0 = no cumple | 1 = parcial | 2 = cumple bien</t>
        </r>
      </text>
    </comment>
    <comment ref="F3" authorId="0" shapeId="0" xr:uid="{00000000-0006-0000-0700-000003000000}">
      <text>
        <r>
          <rPr>
            <sz val="11"/>
            <color theme="1"/>
            <rFont val="Calibri"/>
            <family val="2"/>
            <scheme val="minor"/>
          </rPr>
          <t>Q3: Describe la enfermedad y los síntomas en el TALLO/tronco con claridad.
0 = no cumple | 1 = parcial | 2 = cumple bien</t>
        </r>
      </text>
    </comment>
    <comment ref="G3" authorId="0" shapeId="0" xr:uid="{00000000-0006-0000-0700-000004000000}">
      <text>
        <r>
          <rPr>
            <sz val="11"/>
            <color theme="1"/>
            <rFont val="Calibri"/>
            <family val="2"/>
            <scheme val="minor"/>
          </rPr>
          <t>Q4: Se realiza sobre aguacate (Persea americana) o es claramente extrapolable a él.
0 = no cumple | 1 = parcial | 2 = cumple bien</t>
        </r>
      </text>
    </comment>
    <comment ref="H3" authorId="0" shapeId="0" xr:uid="{00000000-0006-0000-0700-000005000000}">
      <text>
        <r>
          <rPr>
            <sz val="11"/>
            <color theme="1"/>
            <rFont val="Calibri"/>
            <family val="2"/>
            <scheme val="minor"/>
          </rPr>
          <t>Q5: La metodología (muestreo, aislamiento, identificación/diagnóstico) está descrita y es replicable.
0 = no cumple | 1 = parcial | 2 = cumple bien</t>
        </r>
      </text>
    </comment>
    <comment ref="I3" authorId="0" shapeId="0" xr:uid="{00000000-0006-0000-0700-000006000000}">
      <text>
        <r>
          <rPr>
            <sz val="11"/>
            <color theme="1"/>
            <rFont val="Calibri"/>
            <family val="2"/>
            <scheme val="minor"/>
          </rPr>
          <t>Q6: Aporta evidencia que respalda las conclusiones (imágenes, mediciones, laboratorio, secuencias).
0 = no cumple | 1 = parcial | 2 = cumple bien</t>
        </r>
      </text>
    </comment>
    <comment ref="J3" authorId="0" shapeId="0" xr:uid="{00000000-0006-0000-0700-000007000000}">
      <text>
        <r>
          <rPr>
            <sz val="11"/>
            <color theme="1"/>
            <rFont val="Calibri"/>
            <family val="2"/>
            <scheme val="minor"/>
          </rPr>
          <t>Q7: Menciona métodos de detección/diagnóstico (visual, molecular, imagen o IA) útiles para la app.
0 = no cumple | 1 = parcial | 2 = cumple bien</t>
        </r>
      </text>
    </comment>
    <comment ref="K3" authorId="0" shapeId="0" xr:uid="{00000000-0006-0000-0700-000008000000}">
      <text>
        <r>
          <rPr>
            <sz val="11"/>
            <color theme="1"/>
            <rFont val="Calibri"/>
            <family val="2"/>
            <scheme val="minor"/>
          </rPr>
          <t>Q8: Indica el contexto geográfico/región (mundial o Latinoamérica) y las condiciones.
0 = no cumple | 1 = parcial | 2 = cumple bien</t>
        </r>
      </text>
    </comment>
    <comment ref="L3" authorId="0" shapeId="0" xr:uid="{00000000-0006-0000-0700-000009000000}">
      <text>
        <r>
          <rPr>
            <sz val="11"/>
            <color theme="1"/>
            <rFont val="Calibri"/>
            <family val="2"/>
            <scheme val="minor"/>
          </rPr>
          <t>Q9: Resultados y conclusiones claros y coherentes con los datos presentados.
0 = no cumple | 1 = parcial | 2 = cumple bien</t>
        </r>
      </text>
    </comment>
    <comment ref="M3" authorId="0" shapeId="0" xr:uid="{00000000-0006-0000-0700-00000A000000}">
      <text>
        <r>
          <rPr>
            <sz val="11"/>
            <color theme="1"/>
            <rFont val="Calibri"/>
            <family val="2"/>
            <scheme val="minor"/>
          </rPr>
          <t>Q10: Fuente confiable y actual (revista revisada por pares, citable, año dentro del rango).
0 = no cumple | 1 = parcial | 2 = cumple bien</t>
        </r>
      </text>
    </comment>
    <comment ref="N3" authorId="0" shapeId="0" xr:uid="{00000000-0006-0000-0700-00000B000000}">
      <text>
        <r>
          <rPr>
            <sz val="11"/>
            <color theme="1"/>
            <rFont val="Calibri"/>
            <family val="2"/>
            <scheme val="minor"/>
          </rPr>
          <t>Puntaje total = suma de Q1..Q10 (0 a 20). Se calcula solo.</t>
        </r>
      </text>
    </comment>
    <comment ref="O3" authorId="0" shapeId="0" xr:uid="{00000000-0006-0000-0700-00000C000000}">
      <text>
        <r>
          <rPr>
            <sz val="11"/>
            <color theme="1"/>
            <rFont val="Calibri"/>
            <family val="2"/>
            <scheme val="minor"/>
          </rPr>
          <t>Nivel = Alta (16-20) / Media (11-15) / Baja (&lt;=10). Se calcula solo.</t>
        </r>
      </text>
    </comment>
  </commentList>
</comments>
</file>

<file path=xl/sharedStrings.xml><?xml version="1.0" encoding="utf-8"?>
<sst xmlns="http://schemas.openxmlformats.org/spreadsheetml/2006/main" count="3759" uniqueCount="1527">
  <si>
    <t>Guía de avance de la matriz v5 – se completa en orden según el itinerario</t>
  </si>
  <si>
    <t>Hoja</t>
  </si>
  <si>
    <t>Actividad del itinerario</t>
  </si>
  <si>
    <t>Qué se registra</t>
  </si>
  <si>
    <t>Estado</t>
  </si>
  <si>
    <t>Protocolo</t>
  </si>
  <si>
    <t>1. Inducción</t>
  </si>
  <si>
    <t>Resumen del protocolo v3 (objetivo, RQ, criterios, calidad).</t>
  </si>
  <si>
    <t>Completada (validada el 01/10/2026)</t>
  </si>
  <si>
    <t>Cadenas_de_busqueda</t>
  </si>
  <si>
    <t>3. Búsqueda y organización</t>
  </si>
  <si>
    <t>Las 16 cadenas ejecutadas, con fecha y registros exportados.</t>
  </si>
  <si>
    <t>Base_consolidada</t>
  </si>
  <si>
    <t>Todos los registros exportados, con ID y categoría.</t>
  </si>
  <si>
    <t>Duplicados_y_exclusion</t>
  </si>
  <si>
    <t>4. PRISMA</t>
  </si>
  <si>
    <t>Duplicados y estudios secundarios retirados antes del cribado.</t>
  </si>
  <si>
    <t>Completada (validada el 02/10/2026)</t>
  </si>
  <si>
    <t>Tamizaje_Tit_Abs_Keys</t>
  </si>
  <si>
    <t>Cribado por título, resumen y palabras clave.</t>
  </si>
  <si>
    <t>Texto_completo</t>
  </si>
  <si>
    <t>Elegibilidad a texto completo y motivos de exclusión.</t>
  </si>
  <si>
    <t>Calidad_articulos</t>
  </si>
  <si>
    <t>5. Calidad</t>
  </si>
  <si>
    <t>Q1–Q10 de los estudios elegibles.</t>
  </si>
  <si>
    <t>Articulos_finales</t>
  </si>
  <si>
    <t>6. Extracción y análisis</t>
  </si>
  <si>
    <t>Extracción de datos y decisión final (Incluir/Reserva).</t>
  </si>
  <si>
    <t>Articulos_finales_ok</t>
  </si>
  <si>
    <t>Tablas de síntesis.</t>
  </si>
  <si>
    <t>Resumen_ejecutivo</t>
  </si>
  <si>
    <t>Patrones, vacíos y recomendación.</t>
  </si>
  <si>
    <t>PRISMA</t>
  </si>
  <si>
    <t>7. Diagrama PRISMA</t>
  </si>
  <si>
    <t>Conteos del diagrama de flujo (automáticos) y comprobaciones; figura en 04_PRISMA/PRISMA_2020_diagrama_v2.png.</t>
  </si>
  <si>
    <t>Nota</t>
  </si>
  <si>
    <t>2. Estado del arte</t>
  </si>
  <si>
    <t>La Actividad 2 no tiene hoja en esta matriz: su entregable es SLR_SmartAgriculture/02_Estado_del_arte/Estado_del_arte_v2.docx.</t>
  </si>
  <si>
    <t>Validada el 01/10/2026</t>
  </si>
  <si>
    <t>8. Redacción de la SLR</t>
  </si>
  <si>
    <t>La Actividad 8 no tiene hoja en esta matriz: su entregable es SLR_SmartAgriculture/05_Redaccion_SLR/SLR_tallos_aguacate_v1.docx (tablas generadas desde esta matriz).</t>
  </si>
  <si>
    <t>Entregada el 02/10/2026 (pendiente de validación)</t>
  </si>
  <si>
    <t>PROTOCOLO DE LA REVISIÓN SISTEMÁTICA – resumen del Protocolo_SLR_SmartAgriculture_v3.docx (Actividad 1)</t>
  </si>
  <si>
    <t>Una sola revisión sistemática y un solo diagrama PRISMA, con dos categorías de estudios evaluadas con sus propios criterios. Solo se usan fuentes de Grupos v2.</t>
  </si>
  <si>
    <t>1. Tema / Proyecto</t>
  </si>
  <si>
    <t>Smart Agriculture: aplicación móvil con IA para diagnosticar enfermedades y alteraciones visibles en el TALLO del aguacate.</t>
  </si>
  <si>
    <t>2. Objetivo</t>
  </si>
  <si>
    <t>Analizar y sintetizar la literatura sobre las enfermedades del tallo del aguacate (agentes, síntomas visibles, métodos de detección) y sobre los sistemas de IA para el diagnóstico de enfermedades en cultivos (técnicas, datos, métricas, implementación e IPO), para fundamentar una aplicación móvil de diagnóstico en tallos.</t>
  </si>
  <si>
    <t>3. Pregunta principal</t>
  </si>
  <si>
    <t>¿Qué evidencia científica existe sobre las enfermedades y alteraciones del tallo del aguacate y sobre los sistemas basados en IA para el diagnóstico de enfermedades en cultivos, que permita fundamentar el desarrollo de una aplicación móvil para el diagnóstico en tallos de aguacate?</t>
  </si>
  <si>
    <t>RQ1</t>
  </si>
  <si>
    <t>¿Qué agentes causales y enfermedades afectan al tallo, las ramas y el tronco del aguacate, y en qué regiones se han reportado?</t>
  </si>
  <si>
    <t>RQ2</t>
  </si>
  <si>
    <t>¿Qué síntomas visibles producen estas enfermedades y qué métodos se utilizan para su detección y diagnóstico?</t>
  </si>
  <si>
    <t>RQ3</t>
  </si>
  <si>
    <t>¿Qué técnicas de IA y visión por computador, conjuntos de datos y métricas se emplean en los sistemas de diagnóstico de enfermedades en cultivos?</t>
  </si>
  <si>
    <t>RQ4</t>
  </si>
  <si>
    <t>¿Qué características de implementación (plataforma, inferencia, funcionamiento sin conexión) y de IPO presentan estos sistemas?</t>
  </si>
  <si>
    <t>RQ5</t>
  </si>
  <si>
    <t>¿Qué brechas y oportunidades se identifican para desarrollar una aplicación móvil de diagnóstico de enfermedades en tallos de aguacate?</t>
  </si>
  <si>
    <t>4. Bases de datos</t>
  </si>
  <si>
    <t>Scopus, ScienceDirect y Springer Link. IEEE Xplore y Web of Science no se consultaron por falta de acceso institucional (limitación).</t>
  </si>
  <si>
    <t>5. Grupos de cadenas</t>
  </si>
  <si>
    <t>Fitopatológicas (17–18/09/2026; 2003–2026) · Tecnológicas (25/09/2026; 2015–2026) · Complementarias C16–C18 en ScienceDirect (01/10/2026): recuperan revisiones que no entran a la síntesis y sirven de fuente para los antecedentes y el estado del arte.</t>
  </si>
  <si>
    <t>6. Idioma</t>
  </si>
  <si>
    <t>Español o inglés.</t>
  </si>
  <si>
    <t>7. Método</t>
  </si>
  <si>
    <t>Directrices de Kitchenham y Charters (como se citó en Martinelli et al., 2024) y declaración PRISMA (aplicada en Lin et al., 2026; Majdalawieh et al., 2025; Odounfa et al., 2024; Sajitha et al., 2024). Un revisor principal, con la tutora como segunda instancia.</t>
  </si>
  <si>
    <t>CATEGORÍA FITOPATOLÓGICA</t>
  </si>
  <si>
    <t>CI-F1</t>
  </si>
  <si>
    <t>Trata sobre aguacate (Persea americana).</t>
  </si>
  <si>
    <t>CI-F2</t>
  </si>
  <si>
    <t>Menciona uno de los grupos de patógenos considerados (Phytophthora, Lasiodiplodia, Botryosphaeriaceae, Colletotrichum, Fusarium, Nectria/Rugonectria).</t>
  </si>
  <si>
    <t>CI-F3</t>
  </si>
  <si>
    <t>Aporta información sobre el tallo, ramas o tronco (síntomas, cancro, muerte descendente, pudrición, marchitez, detección).</t>
  </si>
  <si>
    <t>CI-F4</t>
  </si>
  <si>
    <t>Es un estudio primario, en español o inglés, publicado entre 2003 y 2026.</t>
  </si>
  <si>
    <t>CE-F1</t>
  </si>
  <si>
    <t>Se enfoca únicamente en raíz, hoja o fruto, sin relación con el tallo (incluye la pudrición peduncular o “stem-end rot” del fruto).</t>
  </si>
  <si>
    <t>CE-F2</t>
  </si>
  <si>
    <t>Es revisión, survey, mapping o metaanálisis.</t>
  </si>
  <si>
    <t>CE-F3</t>
  </si>
  <si>
    <t>No especifica la especie del patógeno ni el órgano afectado.</t>
  </si>
  <si>
    <t>CE-F4 / CE-F5</t>
  </si>
  <si>
    <t>Duplicado; fuera del periodo o del idioma.</t>
  </si>
  <si>
    <t>Q1–Q10 fitopatológicos</t>
  </si>
  <si>
    <t>Q1 objetivo claro · Q2 patógeno identificado · Q3 síntomas en tallo descritos · Q4 aguacate · Q5 metodología replicable · Q6 evidencia (imágenes, mediciones, secuencias) · Q7 métodos de detección útiles para la app · Q8 contexto geográfico · Q9 resultados coherentes · Q10 fuente confiable y actual.</t>
  </si>
  <si>
    <t>CATEGORÍA TECNOLÓGICA</t>
  </si>
  <si>
    <t>CI-T1</t>
  </si>
  <si>
    <t>Aborda la detección, clasificación o diagnóstico de enfermedades de plantas o cultivos.</t>
  </si>
  <si>
    <t>CI-T2</t>
  </si>
  <si>
    <t>Usa IA, machine learning, deep learning o visión por computador.</t>
  </si>
  <si>
    <t>CI-T3</t>
  </si>
  <si>
    <t>Se relaciona con una aplicación móvil, dispositivo o sistema de apoyo (o analiza su viabilidad).</t>
  </si>
  <si>
    <t>CI-T4</t>
  </si>
  <si>
    <t>Es un estudio primario, en español o inglés, publicado entre 2015 y 2026.</t>
  </si>
  <si>
    <t>CE-T1</t>
  </si>
  <si>
    <t>No usa IA ni métodos de aprendizaje automático.</t>
  </si>
  <si>
    <t>CE-T2</t>
  </si>
  <si>
    <t>No aborda enfermedades de plantas (p. ej., madurez, calidad del fruto, estrés hídrico).</t>
  </si>
  <si>
    <t>CE-T3 / CE-T4</t>
  </si>
  <si>
    <t>Revisión o estudio secundario; duplicado o fuera del periodo o idioma.</t>
  </si>
  <si>
    <t>Q1–Q10 tecnológicos</t>
  </si>
  <si>
    <t>Q1 objetivo claro · Q2 problema de detección definido · Q3 dataset especificado · Q4 modelo replicable · Q5 métricas con validación adecuada · Q6 comparación con otros modelos · Q7 implementación en app o dispositivo · Q8 IPO/UX/usabilidad · Q9 resultados coherentes y reproducibles · Q10 fuente confiable y actual.</t>
  </si>
  <si>
    <t>PUNTUACIÓN Y DECISIÓN</t>
  </si>
  <si>
    <t>Escala</t>
  </si>
  <si>
    <t>0 = no cumple · 1 = parcial · 2 = cumple. Total 0–20 → Alta 16–20 · Media 11–15 · Baja ≤ 10.</t>
  </si>
  <si>
    <t>Decisión final</t>
  </si>
  <si>
    <t>Incluir si la calidad es Alta o Media y la alineación con el objetivo es Alta o Media; en otro caso, Reserva (se cita, pero no entra en la síntesis).</t>
  </si>
  <si>
    <t>Datos a extraer</t>
  </si>
  <si>
    <t>Fitopatológicos: patógeno, especie, órgano, síntomas en tallo, método de detección, país, aporte. Tecnológicos: modelo, dataset, métrica, plataforma e inferencia, IPO/usabilidad, país, aporte.</t>
  </si>
  <si>
    <t>CADENAS DE BÚSQUEDA (registro para reproducibilidad)</t>
  </si>
  <si>
    <t>Se completa en la Actividad 3 del itinerario. Registro de las cadenas EXACTAS ejecutadas, con fecha y n.º de registros exportados (bitácora de búsqueda). IEEE Xplore y Web of Science no se consultaron por falta de acceso institucional.</t>
  </si>
  <si>
    <t>N.º</t>
  </si>
  <si>
    <t>Grupo</t>
  </si>
  <si>
    <t>Base de datos</t>
  </si>
  <si>
    <t>Cadena de búsqueda exacta</t>
  </si>
  <si>
    <t>Campos</t>
  </si>
  <si>
    <t>Filtros (años/idioma)</t>
  </si>
  <si>
    <t>Fecha de búsqueda</t>
  </si>
  <si>
    <t>N.º registros exportados</t>
  </si>
  <si>
    <t>Notas</t>
  </si>
  <si>
    <t>CADENAS FITOPATOLÓGICAS (17 y 18/09/2026)</t>
  </si>
  <si>
    <t>Fitopatológica – todos los grupos de patógenos</t>
  </si>
  <si>
    <t>Scopus</t>
  </si>
  <si>
    <t>("Persea americana" OR avocado) AND ("Phytophthora cinnamomi" OR "Lasiodiplodia theobromae" OR "Neofusicoccum parvum" OR Botryosphaeriaceae OR Colletotrichum OR Fusarium OR Nectria OR Rugonectria) AND (stem OR trunk OR canker OR dieback OR "stem-end rot" OR wilt OR disease OR symptom)</t>
  </si>
  <si>
    <t>Título-Resumen-Keywords</t>
  </si>
  <si>
    <t>2003–2026; es/en</t>
  </si>
  <si>
    <t>2026-09-17</t>
  </si>
  <si>
    <t>Export: scopus_export_Sep 17-2026_64f2de15. Cadena general, todos los grupos. Total de resultados (hits) no registrado (limitación declarada).</t>
  </si>
  <si>
    <t>Science Direct</t>
  </si>
  <si>
    <t>("Persea americana" OR avocado) AND ("Phytophthora" OR Botryosphaeriaceae OR Colletotrichum OR Fusarium OR Nectria OR Rugonectria)</t>
  </si>
  <si>
    <t>2026-09-18</t>
  </si>
  <si>
    <t>7 registros (A0039–A0045), .ris en Grupos v2/Todos/Science Direct. Total de resultados (hits) no registrado (limitación declarada).</t>
  </si>
  <si>
    <t>Springer Link</t>
  </si>
  <si>
    <t>3 registros (A0046–A0048), .ris en Grupos v2/Todos/springer. Total de resultados (hits) no registrado (limitación declarada).</t>
  </si>
  <si>
    <t>Fitopatológica – 1. Phytophthora</t>
  </si>
  <si>
    <t>("Persea americana" OR avocado) AND "Phytophthora cinnamomi" AND (root OR stem OR trunk OR wilt OR dieback)</t>
  </si>
  <si>
    <t>Export: scopus_export_Sep 18-2026_162c1d26. Total de resultados (hits) no registrado (limitación declarada).</t>
  </si>
  <si>
    <t>Fitopatológica – 2. Lasiodiplodia</t>
  </si>
  <si>
    <t>("Persea americana" OR avocado) AND "Lasiodiplodia theobromae" AND (stem OR trunk OR canker OR "stem-end rot")</t>
  </si>
  <si>
    <t>Export: scopus_export_Sep 18-2026_8f28b456. Total de resultados (hits) no registrado (limitación declarada).</t>
  </si>
  <si>
    <t>Fitopatológica – 3. Botryosphaeriaceae</t>
  </si>
  <si>
    <t>("Persea americana" OR avocado) AND ("Neofusicoccum parvum" OR Botryosphaeriaceae) AND (stem OR trunk OR canker OR dieback)</t>
  </si>
  <si>
    <t>Export: scopus_export_Sep 18-2026_96199bb3. Total de resultados (hits) no registrado (limitación declarada).</t>
  </si>
  <si>
    <t>Fitopatológica – 4. Colletotrichum</t>
  </si>
  <si>
    <t>("Persea americana" OR avocado) AND ("Colletotrichum acutatum" OR "Colletotrichum gloeosporioides") AND (anthracnose OR stem OR canker)</t>
  </si>
  <si>
    <t>2026-09-17 / 2026-09-18</t>
  </si>
  <si>
    <t>Dos exports: Sep 17-2026_2fb2f4b0 (1) + Sep 18-2026_82c23d75 (3). Total de resultados (hits) no registrado (limitación declarada).</t>
  </si>
  <si>
    <t>Fitopatológica – 5. Fusarium</t>
  </si>
  <si>
    <t>("Persea americana" OR avocado) AND ("Fusarium solani" OR "Fusarium oxysporum" OR "Fusarium equiseti") AND (wilt OR stem OR trunk OR rot)</t>
  </si>
  <si>
    <t>Export: scopus_export_Sep 18-2026_4e658477. Total de resultados (hits) no registrado (limitación declarada).</t>
  </si>
  <si>
    <t>Fitopatológica – 6. Nectria</t>
  </si>
  <si>
    <t>("Persea americana" OR avocado) AND (Nectria OR "Rugonectria rugulosa") AND (canker OR trunk OR stem)</t>
  </si>
  <si>
    <t>Export: scopus_export_Sep 18-2026_6573fc91. Total de resultados (hits) no registrado (limitación declarada).</t>
  </si>
  <si>
    <t>CADENAS TECNOLÓGICAS (25/09/2026)</t>
  </si>
  <si>
    <t>Tecnológica – Aguacate+IA (stem)</t>
  </si>
  <si>
    <t>( "Persea americana" OR avocado ) AND ( "deep learning" OR "machine learning" OR "computer vision" OR CNN OR "image classification" ) AND ( stem OR detection OR classification )</t>
  </si>
  <si>
    <t>2015–2026; es/en</t>
  </si>
  <si>
    <t>2026-09-25</t>
  </si>
  <si>
    <t>Exportación conjunta de las cadenas 12–14: 13 registros; 1 duplicado dentro de Scopus (T0001, presente en dos exportaciones) → 12 únicos (T0001–T0012). Total de resultados (hits) no registrado (limitación declarada).</t>
  </si>
  <si>
    <t>Tecnológica – Enfermedad+IA+HCI</t>
  </si>
  <si>
    <t>( "plant disease" OR "crop disease" OR "leaf disease" ) AND ( "deep learning" OR "machine learning" OR "computer vision" OR "artificial intelligence" ) AND ( usability OR "user experience" OR UX OR "human-computer interaction" OR HCI OR "user interface" OR "user-centered design" )</t>
  </si>
  <si>
    <t>Sus registros se contabilizan en la cadena 12 (exportación conjunta). Total de resultados (hits) no registrado (limitación declarada).</t>
  </si>
  <si>
    <t>Tecnológica – Aguacate+IA (disease/pest)</t>
  </si>
  <si>
    <t>(avocado OR "Persea americana") AND ("deep learning" OR "machine learning" OR "computer vision" OR CNN OR "image classification" OR "artificial intelligence") AND (disease OR detection OR classification OR pest)</t>
  </si>
  <si>
    <t>Tecnológica – Aguacate+IA+HCI</t>
  </si>
  <si>
    <t>("persea americana" OR avocado) AND ("deep learning" OR "machine learning" OR "computer vision") AND (usability OR "user experience" OR "human-computer interaction" OR "user interface")</t>
  </si>
  <si>
    <t>1 registro exportado (T0013); .ris en Grupos v2/Todos/springer. Total de resultados (hits) no registrado (limitación declarada).</t>
  </si>
  <si>
    <t>CADENAS COMPLEMENTARIAS EN SCIENCEDIRECT (01/10/2026) – revisiones para el estado del arte</t>
  </si>
  <si>
    <t>Complementaria – Smart agriculture + IA</t>
  </si>
  <si>
    <t>("smart agriculture" OR "smart farming" OR "precision agriculture") AND ("deep learning" OR "computer vision") AND review</t>
  </si>
  <si>
    <t>No registrado (registros de 2024–2026, en inglés)</t>
  </si>
  <si>
    <t>2026-10-01</t>
  </si>
  <si>
    <t>ScienceDirect_citations_1790890165413.ris: Odounfa 2024 (T0014), Yuan 2026 (T0015), Lin 2026 (T0016), Majdalawieh 2025 (T0017). Total de resultados (hits) no registrado (limitación declarada).</t>
  </si>
  <si>
    <t>Complementaria – Detección de enfermedades en plantas con imágenes</t>
  </si>
  <si>
    <t>("plant disease" OR "crop disease") AND ("deep learning" OR CNN) AND (detection OR classification)</t>
  </si>
  <si>
    <t>ScienceDirect_citations_1790890637540.ris: Saini 2026 (T0018), Sajitha 2024 (T0019) y Majdalawieh 2025, ya recuperado en la cadena 16 (1 duplicado dentro de ScienceDirect). Total de resultados (hits) no registrado (limitación declarada).</t>
  </si>
  <si>
    <t>Complementaria – Apps móviles + HCI en agricultura</t>
  </si>
  <si>
    <t>("mobile application" OR smartphone) AND (agriculture OR farmer*) AND (usability OR "user-centered design" OR "user experience")</t>
  </si>
  <si>
    <t>No registrado (registro de 2024, en inglés)</t>
  </si>
  <si>
    <t>ScienceDirect_citations_1790891064720.ris: Martinelli 2024 (T0020). Total de resultados (hits) no registrado (limitación declarada).</t>
  </si>
  <si>
    <t>RESUMEN DE LA BÚSQUEDA</t>
  </si>
  <si>
    <t>Registros exportados – Scopus</t>
  </si>
  <si>
    <t>Registros exportados – ScienceDirect</t>
  </si>
  <si>
    <t>Registros exportados – Springer Link</t>
  </si>
  <si>
    <t>Total de registros exportados</t>
  </si>
  <si>
    <t>Duplicados dentro de la misma base (8 Scopus fitopatológicos, 1 Scopus tecnológico, 1 ScienceDirect)</t>
  </si>
  <si>
    <t>Registros únicos por base (hoja Base_consolidada)</t>
  </si>
  <si>
    <t>Comprobación: exportados − duplicados internos = únicos</t>
  </si>
  <si>
    <t>Nota metodológica:</t>
  </si>
  <si>
    <t>Se conservan los números originales de las cadenas (1–9, 12–15 y 16–18); los números 10 y 11 no se usaron, por lo que son 16 cadenas en total. Los totales de resultados (hits) no se registraron al buscar, por lo que el PRISMA parte de los registros exportados (limitación declarada). IEEE Xplore y Web of Science no se consultaron por falta de acceso institucional. Las cadenas 16–18 son más cortas porque ScienceDirect limita a ocho los operadores booleanos por campo (Yuan et al., 2026); los filtros de año e idioma de estas cadenas no se registraron.</t>
  </si>
  <si>
    <t>Actividad 3 del itinerario. Registros únicos por base (78 exportados − 10 duplicados dentro de la misma base = 68), con su ID y categoría. Aún no se filtra nada: los duplicados entre bases y las revisiones se marcan en la Actividad 4 (hoja Duplicados_y_exclusion). Datos tomados de las exportaciones de Scopus (.csv), ScienceDirect y Springer Link (.ris).</t>
  </si>
  <si>
    <t>ID</t>
  </si>
  <si>
    <t>Título completo</t>
  </si>
  <si>
    <t>Autores</t>
  </si>
  <si>
    <t>Año</t>
  </si>
  <si>
    <t>DOI</t>
  </si>
  <si>
    <t>Keywords</t>
  </si>
  <si>
    <t>Abstract</t>
  </si>
  <si>
    <t>Tipo de documento</t>
  </si>
  <si>
    <t>Fuente / Revista</t>
  </si>
  <si>
    <t>Estado inicial</t>
  </si>
  <si>
    <t>Registro fuente</t>
  </si>
  <si>
    <t>Categoría</t>
  </si>
  <si>
    <t>RESUMEN DE LA BASE CONSOLIDADA</t>
  </si>
  <si>
    <t>A0001</t>
  </si>
  <si>
    <t>Avocado rhizobacteria emit volatile organic compounds with antifungal activity against Fusarium solani, Fusarium sp. associated with Kuroshio shot hole borer, and Colletotrichum gloeosporioides</t>
  </si>
  <si>
    <t>Guevara-Avendaño E.; Bejarano-Bolívar A.A.; Kiel-Martínez A.-L.; Ramírez-Vázquez M.; Méndez-Bravo A.; von Wobeser E.A.; Sánchez-Rangel D.; Guerrero-Analco J.A.; Eskalen A.; Reverchon F.</t>
  </si>
  <si>
    <t>10.1016/j.micres.2018.11.009</t>
  </si>
  <si>
    <t>Bacillus spp.; Bacterial volatiles; Biological control; Persea americana; Pseudomonas sp.; Rhizosphere; Animals; Antifungal Agents; Bacillus; Biological Control Agents; Coleoptera; Colletotrichum; Fusarium; Persea; Phytophthora; Pseudomonas; Volatile Organic Compounds; Bacillus (bacterium); Bacillus amyloliquefaciens; Bacillus mycoides; Bacteria (microorganisms); Fusarium; Fusarium solani; Fusarium sp.; Glomerella cingulata; Mycelium (genus); Persea americana; Phytophthora; Phytophthora cinnamomi; Pseudomonas; Pseudomonas sp.; Rhizobiales; Bacteria; Bacteriology; Diagnosis; Disease control; Fruits; Gas chromatography; Ketones; Mass spectrometry; Ocean currents; Soils; Sulfur compounds; Volatile organic compounds; antifungal agent; volatile organic compound; Bacillus spp; Bacterial volatiles; Biological controls; Persea americana; Pseudomonas sp; Rhizosphere; antagonism; antimicrobial activity; beetle; biological control; fruit; fungus; growth; pathogen; rhizobacterium; rhizosphere; root rot; volatile organic compound; animal; Bacillus; beetle; biological control agent; Colletotrichum; drug effect; Fusarium; metabolism; microbiology; Persea; pharmacology; Phytophthora; Pseudomonas; Fungi</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</si>
  <si>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 © 2018</t>
  </si>
  <si>
    <t>Article</t>
  </si>
  <si>
    <t>Microbiological Research</t>
  </si>
  <si>
    <t>Importado</t>
  </si>
  <si>
    <t>scopus_export_Sep 18-2026_4e658477-f683-499d-a469-81d37efaa96b.csv</t>
  </si>
  <si>
    <t>Fitopatológico</t>
  </si>
  <si>
    <t>Registros únicos por base</t>
  </si>
  <si>
    <t>A0002</t>
  </si>
  <si>
    <t>Colletotrichum fructicola, a Member of Colletotrichum gloeosporioides sensu lato, is the causal agent of anthracnose and soft rot in avocado fruits cv. "Hass"</t>
  </si>
  <si>
    <t>Fuentes-Aragón D.; Juárez-Vázquez S.B.; Vargas-Hernández M.; Silva-Rojas H.V.</t>
  </si>
  <si>
    <t>10.1080/12298093.2018.1454010</t>
  </si>
  <si>
    <t>Bayesian inference; Colletotrichum species complex; Fungal infection; Multilocus sequencing typing; Persea americana; Phylogenetic reconstruction</t>
  </si>
  <si>
    <t>The filamentous Ascomycota Colletotrichum gloeosporioides sensu lato is a fungus that has been reported worldwide as a causal agent of anthracnose disease in avocado and other crops. In Mexico, this species affects fruits from an early stage of development in the orchard until the post-harvest stage. Although fungicides are continuously applied to control Colletotrichum species, pericarp cankers and soft rot mesocarp in fruits are still frequently observed. Considering the lack of a precise description of the causative agent, the aim of the current study was to determine the pathogens involved in this symptomatology. Twenty-four isolates were consistently obtained from the pericarp of avocado fruits cv. "Hass" collected in the central avocado-producing area of Mexico. Morphological features such as colony growth, conidia size, and mycelial appressorium were assessed. Bayesian multilocus phylogenetic analyses were performed using amplified sequences of the internal transcribed spacer region of the nuclear ribosomal DNA; actin, chitin synthase, glyceraldehyde-3-phosphate dehydrogenase partial genes; and APn2-Mat1-2 intergenic spacer and mating type Mat1-2 partial gene from the nine selected isolates. In addition, fruits were inoculated with a conidial suspension and reproducible symptoms confirmed the presence of Colletotrichum fructicola in this area. This pathogenic species can now be added to those previously reported in the country, such as C. acutatum, C. boninense, C. godetiae, C. gloeosporioides, and C. karstii. Disease management programs to reduce the incidence of anthracnose should include C. fructicola to determine its response to fungicides that are routinely applied, considering that the appearance of new species is affecting the commercial quality of the fruits and shifting the original population structure. © 2018 The Author(s).</t>
  </si>
  <si>
    <t>Mycobiology</t>
  </si>
  <si>
    <t>scopus_export_Sep 18-2026_82c23d75-ee65-4935-bf31-12365c1693d4.csv</t>
  </si>
  <si>
    <t>A0003</t>
  </si>
  <si>
    <t>Colletotrichum perseae and Colletotrichum gloeosporioides sensu strictu Causing Stem Lesion and Dieback in Avocado in Italy</t>
  </si>
  <si>
    <t>Vecchio L.; Martino I.; Guarnaccia V.; Polizzi G.; Aiello D.</t>
  </si>
  <si>
    <t>10.3390/horticulturae12010111</t>
  </si>
  <si>
    <t>Colletotrichum species; Persea americana; stem and fruit infections</t>
  </si>
  <si>
    <t>In the last decade, avocado production has increased in Italy due to the fruit’s high nutritional quality and economic value. During 2024, stem lesions, wood discoloration and dieback, often starting at the grafting point, were observed in young plants in a nursery in Sicily (Italy). Colletotrichum-like colonies were frequently isolated from symptomatic tissues. Multi-locus phylogenetic analysis (gapdh, chs-1, act, tub2, cal, gs and ApMat) was conducted on 11 representative isolates, identifying 6 as C. perseae and 5 as C. gloeosporioides sensu stricto (s.s.). Two representative isolates were selected for pathogenicity tests performed on 2-year-old avocado plants cultivated in a greenhouse. After two months, necrotic lesions, wood discoloration and reddish-brown streaking at the inoculation point were induced in both species. Additional inoculations of avocado fruit confirmed the ability of both species to cause fruit rot. All inoculated fungi were successfully re-isolated and identified, fulfilling Koch’s postulates. This is the first report of stem lesions and dieback caused by Colletotrichum species and the first occurrence of C. perseae in avocado plants in Europe. The results highlight the importance of early monitoring in nurseries during the propagation process and contribute to a better understanding of fungal diseases in avocado crops in Italy. © 2026 by the authors.</t>
  </si>
  <si>
    <t>Horticulturae</t>
  </si>
  <si>
    <t>scopus_export_Sep 17-2026_64f2de15-f34e-4ffa-b356-5d490b5ac07b.csv | scopus_export_Sep 18-2026_82c23d75-ee65-4935-bf31-12365c1693d4.csv</t>
  </si>
  <si>
    <t>ScienceDirect</t>
  </si>
  <si>
    <t>A0004</t>
  </si>
  <si>
    <t>Colletotrichum siamense is the main aetiological agent of anthracnose of avocado in south-eastern Brazil</t>
  </si>
  <si>
    <t>Soares M.G.O.; Alves E.; Silveira A.L.; Pereira F.D.; Guimarães S.S.C.</t>
  </si>
  <si>
    <t>10.1111/ppa.13262</t>
  </si>
  <si>
    <t>infectious process; multilocus phylogeny; pathogenicity; Persea americana; post-harvest disease; Brazil; Colletotrichum; Colletotrichum boninense; Persea americana; anthracnose; bacterium; deciduous tree; etiology; genetic variation; inoculation; isolated population; morphology; phylogenetics; sporulation</t>
  </si>
  <si>
    <t>Anthracnose caused by species of Colletotrichum is considered one of the main postharvest diseases for avocado. In this study, Colletotrichum isolates associated with avocado anthracnose, collected in different states of Brazil, were evaluated through phylogenetic analysis, morphological characterization, and pathogenicity assays. Moreover, the events during pathogen infection of avocados were examined by scanning electron microscopy. To assess the genetic diversity of 54 Colletotrichum isolates, partial sequence analysis of the gene gapdh was performed. According to the generated groupings and the geographical origins of isolates, a subset of 14 strains was selected for performing multilocus phylogeny analysis (using sequences of gapdh, act, tub2, and ApMat). Two species previously described were identified: C. siamense belonging to the C. gloeosporioides species complex and Colletotrichum karstii belonging to the C. boninense species complex. All Colletotrichum strains evaluated caused typical symptoms of anthracnose in avocado fruits. Conidia of the most virulent strain germinated between 6 and 12 hr after inoculation (hai). Penetration through wounds occurred 48 hai, tissue colonization occurred between 144 and 240 hai, and sporulation took place at 240 hai via the production of an acervulus, conidiophores, and conidia. The findings shed light on the aetiology of avocado anthracnose in Brazil and provide a better understanding of the infection process of this pathogen, which may assist in the development of disease management strategies. © 2020 British Society for Plant Pathology</t>
  </si>
  <si>
    <t>Plant Pathology</t>
  </si>
  <si>
    <t>scopus_export_Sep 17-2026_64f2de15-f34e-4ffa-b356-5d490b5ac07b.csv</t>
  </si>
  <si>
    <t>A0005</t>
  </si>
  <si>
    <t>Colletotrichum species causing anthracnose on avocado fruit in Mexico: Current status</t>
  </si>
  <si>
    <t>Fuentes-Aragón D.; Silva-Rojas H.V.; Guarnaccia V.; Mora-Aguilera J.A.; Aranda-Ocampo S.; Bautista-Martínez N.; Téliz-Ortíz D.</t>
  </si>
  <si>
    <t>10.1111/ppa.13234</t>
  </si>
  <si>
    <t>Colletotrichum jiangxiense sexual morph; Colletotrichum species; multilocus phylogenetic analyses; pathogenicity test; Persea americana; Mexico [North America]; Colletotrichum; Colletotrichum nymphaeae; Colletotrichum sp.; Persea americana; anthracnose; bacterium; crop plant; fruit; genetic analysis; morphology; pathogenicity; phylogenetics</t>
  </si>
  <si>
    <t>Colletotrichum species cause anthracnose disease in tropical and subtropical fruit crops worldwide. Mexico is the main producer and exporter of avocado (Persea americana) globally and has yearly outbreaks of anthracnose on this crop. However, which specific Colletotrichum spp. cause these outbreaks in avocado-producing regions remain uncertain; thus, the objective of the present study was to identify the species responsible. A survey performed in six production regions of Mexico yielded 232 isolates, from which a subset of 104 strains was selected based on morphological characteristics and origin. This subset was sequenced and haplotypes were analysed in the gapdh partial gene. Finally, 31 strains were identified through multilocus phylogenetic analyses using the sequences of the internal transcribed spacer region and six loci. This study revealed the presence of two species previously reported in Mexico (C. karsti and C. godetiae), three novel records in Mexico (C. siamense, C. fioriniae, and C. cigarro), four novel records on avocado (C. chrysophilum, C. jiangxiense, C. tropicale, and C. nymphaeae), and two novel lineages (Colletotrichum sp. 1 and Colletotrichum sp. 2). C. siamense was the most prevalent, while the species reported for the first time on avocado, including the novel lineages, were the least prevalent. C. karsti was the most widespread (four regions), followed by C. siamense, C. jiangxiense, and C. chrysophilum (three regions). Pathogenicity tests showed that all species caused anthracnose on avocado fruit. These findings will be useful for improving the management of avocado anthracnose outbreaks in Mexico. © 2020 British Society for Plant Pathology</t>
  </si>
  <si>
    <t>scopus_export_Sep 17-2026_2fb2f4b0-ee23-499b-9e91-17eb9cc8aaf8.csv</t>
  </si>
  <si>
    <t>Fitopatológicos (A0001–A0048)</t>
  </si>
  <si>
    <t>A0006</t>
  </si>
  <si>
    <t>Ecofriendly management of anthracnose on avocado caused by Colletotrichum perseae in the Mediterranean basin</t>
  </si>
  <si>
    <t>Vecchio L.; Arrebola E.; Polizzi G.; Vitale A.</t>
  </si>
  <si>
    <t>10.1002/jsf2.70088</t>
  </si>
  <si>
    <t>anthracnose; avocado; Bacillus; biological control agents; sustainable agriculture; Trichoderma</t>
  </si>
  <si>
    <t>Background: Colletotrichum perseae, recently reported in Europe, causes stem and twig lesions and dieback, and fruit rot on avocado in several countries. Due to EU severe restrictions, there is an urgent need for sustainable alternatives to fungicides. This study aims to evaluate the preventative activity of trade bioformulates against C. perseae across detached twig, greenhouse pot-plant grown, and postharvest fruit experiments. Results: All biological treatments have significantly managed twig anthracnose infections ranging by 37%–91% reductions. Bacillus amyloliquefaciens QST713, chitosan, Trichoderma gamsii + Trichoderma asperellum mixture, and Equisetum arvense based bioformulates showed a similar efficacy of the standard fungicide (pyraclostrobin) whilst sweet orange essential oils were less effective. In potted plants grown in greenhouse, T. asperellum T34 followed by T. gamsii + T. asperellum mixture bioformulates revealed the most effective in reducing internal lesions caused by C. perseae. On the other hand, bioformulate containing B. amyloliquefaciens D747 revealed the most effective treatment in minimizing C. perseae anthracnose lesions under post-harvest conditions. Conclusion: The paper clearly showed that some trade bioformulates could represent a highly effective, environmentally friendly option for managing C. perseae of avocado. The implementation of such an approach should be imperative for developing performant strategies for other avocado diseases. This process should begin with preventive applications of Trichoderma species as T34 in nursery and preserve the health in postharvest by using B. amyloliquefaciens strains-based formulates. Indeed, the strategic adoption of these trade bioalternatives provides a concrete pathway to replace chemical fungicides. © 2026 The Author(s). JSFA Reports published by John Wiley &amp; Sons Ltd on behalf of Society of Chemical Industry.</t>
  </si>
  <si>
    <t>JSFA reports</t>
  </si>
  <si>
    <t>Tecnológicos (T0001–T0020)</t>
  </si>
  <si>
    <t>A0007</t>
  </si>
  <si>
    <t>Effect of pectin-based edible emulsion coating on changes in quality of avocado exposed to Lasiodiplodia theobromae infection</t>
  </si>
  <si>
    <t>Maftoonazad N.; Ramaswamy H.S.; Moalemiyan M.; Kushalappa A.C.</t>
  </si>
  <si>
    <t>10.1016/j.carbpol.2006.11.020</t>
  </si>
  <si>
    <t>Avocado; Coating; Color; Edible film; Lasiodiplodia theobromae; Pectin; Respiration rate; Storage; Texture; Carbohydrates; Emulsions; Food Storage; Fruits; Fungi; Persea; Botryosphaeria rhodina; Persea americana; Emulsions; Food storage; Fruits; Fungi; Edible films; Lasiodiplodia theobromae; Pectin; Respiration rate; Uncoated fruits; Carbohydrates</t>
  </si>
  <si>
    <t>This study was carried out to evaluate the effect of pectin-based edible emulsion coating on activity and disease severity of Lasiodiplodia theobromae in avocados, and their subsequent influence on the fruit quality. In order to assess the influence of coating and disease, avocados were sorted and devided into four equal lots and all were incubated at 20 °C for up to 4 days. The first and second lots constituted samples which were stored as coated and uncoated, respectively, without fungal inoculation. The third and fourth lots were coated and un-coated fruits inoculated with the fungal disease. For coating, a previously standardized pectin-based emulsion was used. The incubated fruits were examined for the spread of disease, respiration rate and quality parameters, color and texture. As the incubation time increased, the volume of disease (VDS) increased, which in turn influenced the respiration rate (RR) in both coated and uncoated fruits. However, the coated fruits sustained a significantly slower rate of disease spread and RR. Similarly, the associated quality changes (texture and color) were much lower in coated fruits as compared with the control. Thus, the pectin based coating was effective in controlling the spread and severity of stem end rot in avocados. Changes in physical and physiological parameters of coated and uncoated fruits were well described by some form of semi-logarithmic models and were related to the VDS as well as case dependent incubation time. © 2007.</t>
  </si>
  <si>
    <t>Carbohydrate Polymers</t>
  </si>
  <si>
    <t>scopus_export_Sep 18-2026_8f28b456-611a-478a-9b87-bb5029e250f3.csv</t>
  </si>
  <si>
    <t>Recuperados en dos exportaciones de la misma base</t>
  </si>
  <si>
    <t>A0008</t>
  </si>
  <si>
    <t>Effect of seaweed extract on avocado root growth, yield and post-harvest quality in far north Queensland, Australia</t>
  </si>
  <si>
    <t>Arioli T.; Villalta O.N.; Hepworth G.; Farnsworth B.; Mattner S.W.</t>
  </si>
  <si>
    <t>10.1007/s10811-023-02933-0</t>
  </si>
  <si>
    <t>Ascophyllum nodosum; Biostimulant; Durvillaea potatorum; Persea americana; Phytophthora cinnamomi</t>
  </si>
  <si>
    <t>Seaweed extracts are proven to increase productivity in many agricultural crops, but there is limited research on their use in avocado production. Therefore, we evaluated the effectiveness of a seaweed extract from Durvillaea potatorum and Ascophyllum nodosum on avocado yield, revenue and post-harvest fruit quality in a series of field experiments in Australia, and on seedling root growth in a pot experiment. The field experiments were conducted on commercial farms across three different locations in northern Queensland over four years and utilised avocado trees with different ages, cultivars (Hass and Shepard) and inoculum pressures from Phytophthora cinnamomi. Results showed that the application of the seaweed extract by fertigation significantly improved avocado yield (kg fruit per tree) by 38%, fruit firmness by 4% (skin) and 22% (flesh) and fruit skin colour by 1° (hue), and an upgraded visual ripeness score. The increases in yield were associated with greater number of fruits per tree (up to 42%) indicating the liquid seaweed extract improved fruit set and retention per tree. Regular soil application of the seaweed extract to young trees (cv. Hass) in pots increased the root fresh weight by 22%. Overall, the regular application of the seaweed extract to avocado trees was found to be practical and economically viable for improving fruit production and post-harvest quality in Australian orchards. © The Author(s) 2023.</t>
  </si>
  <si>
    <t>Journal of Applied Phycology</t>
  </si>
  <si>
    <t>scopus_export_Sep 18-2026_162c1d26-553e-41ee-8ea1-e9ecd3a7eea2.csv</t>
  </si>
  <si>
    <t>A0009</t>
  </si>
  <si>
    <t>Emerging pathogens and disease dynamics threatening avocado production in southern Türkiye</t>
  </si>
  <si>
    <t>Çalış Ö.; Çelik S.; Fidan H.; Tek M.I.; Shah M.; Tozlu I.; Wani S.H.</t>
  </si>
  <si>
    <t>10.1007/s41348-024-00954-6</t>
  </si>
  <si>
    <t>Anthracnose; Avocado; Branch canker; Dieback; Fungal diseases; Soil-borne pathogens; Turkey; anthracnose; biological control; dieback; fruit; fungal disease; fungus; pathogen; pathogenicity; soilborne disease</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</si>
  <si>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 © The Author(s) 2024.</t>
  </si>
  <si>
    <t>Journal of Plant Diseases and Protection</t>
  </si>
  <si>
    <t>scopus_export_Sep 17-2026_64f2de15-f34e-4ffa-b356-5d490b5ac07b.csv | scopus_export_Sep 18-2026_8f28b456-611a-478a-9b87-bb5029e250f3.csv</t>
  </si>
  <si>
    <t>A0010</t>
  </si>
  <si>
    <t>Expression of several Phytophthora cinnamomi putative RxLRs provides evidence for virulence roles in avocado</t>
  </si>
  <si>
    <t>Joubert M.; Backer R.; Engelbrecht J.; Van Den Berg N.</t>
  </si>
  <si>
    <t>10.1371/journal.pone.0254645</t>
  </si>
  <si>
    <t>Persea; Phylogeny; Phytophthora; Virulence; fungal protein; RxLR protein; unclassified drug; amino acid sequence; Article; avocado; controlled study; fungal genome; fungal virulence; gene; gene expression; gene expression profiling; nonhuman; nucleotide sequence; phylogeny; Phytophthora cinnamomi; Phytophthora root rot; root rot; RxLR gene; parasitology; pathogenicity; Persea; Phytophthora; virulence</t>
  </si>
  <si>
    <t>Phytophthora cinnamomi is a plant pathogenic oomycete that causes Phytophthora root rot of avocado (PRR). Currently, there is a limited understanding of the molecular interactions underlying this disease. Other Phytophthora species employ an arsenal of effector proteins to manipulate host physiology, of which the RxLR effectors contribute to virulence by interfering with host immune responses. The aim of this study was to identify candidate RxLR effectors in P. cinnamomi that play a role in establishing PRR, and to infer possible functions for these effectors. We identified 61 candidate RxLR genes which were expressed during infection of a susceptible avocado rootstock. Several of these genes were present in multiple copies in the P. cinnamomi genome, suggesting that they may contribute to pathogen fitness. Phylogenetic analysis of the manually predicted RxLR protein sequences revealed 12 P. cinnamomi RxLRs that were related to characterised effectors in other Phytophthora spp., providing clues to their functions in planta. Expression profiles of nine more RxLRs point to possible virulence roles in avocado-highlighting a way forward for studies of this interaction. This study represents the first investigation of the expression of P. cinnamomi RxLR genes during the course of avocado infection, and puts forward a pipeline to pinpoint effector genes with potential as virulence determinants, providing a foundation for the future functional characterization of RxLRs that contribute to P. cinnamomi virulence in avocado. © 2021 Joubert et al. This is an open access article distributed under the terms of the Creative Commons Attribution License, which permits unrestricted use, distribution, and reproduction in any medium, provided the original author and source are credited.</t>
  </si>
  <si>
    <t>PLoS ONE</t>
  </si>
  <si>
    <t>A0011</t>
  </si>
  <si>
    <t>First Record of Colletotrichum anthrisci Causing Anthracnose on Avocado Fruits in Chile</t>
  </si>
  <si>
    <t>Bustamante M.I.; Osorio-Navarro C.; Fernández Y.; Bourret T.B.; Zamorano A.; Henríquez-Sáez J.L.</t>
  </si>
  <si>
    <t>10.3390/pathogens11101204</t>
  </si>
  <si>
    <t>etiology; Persea americana; postharvest disease; streptomycin; anthracnose; Article; avocado; Colletotrichum; conidium; controlled study; DNA extraction; DNA sequencing; fungus isolation; mycelial growth; nonhuman; phylogeny; sporogenesis; temperature</t>
  </si>
  <si>
    <t>Anthracnose caused by Colletotrichum species is one of the most frequent and damaging fungal diseases affecting avocado fruits (Persea americana Mill.) worldwide. In Chile, the disease incidence has increased over the last decades due to the establishment of commercial groves in more humid areas. Since 2018, unusual symptoms of anthracnose have been observed on Hass avocado fruits, with lesions developing a white to gray sporulation. Morphological features and multi-locus phylogenetic analyses using six DNA barcodes (act, chs-1, gapdh, his3, ITS, and tub2) allowed the identification of the causal agent as Colletotrichum anthrisci, a member of the dematium species complex. Pathogenicity was confirmed by inoculating healthy Hass avocado fruits with representative isolates, reproducing the same symptoms initially observed, and successfully reisolating the same isolates from the margin of the necrotic pulp. Previously, several Colletotrichum species belonging to other species complexes have been associated with avocado anthracnose in other countries. To our knowledge, this is the first record of C. anthrisci and of a species of the dematium species complex causing anthracnose on avocado fruits in Chile and worldwide. © 2022 by the authors.</t>
  </si>
  <si>
    <t>Pathogens</t>
  </si>
  <si>
    <t>A0012</t>
  </si>
  <si>
    <t>First Report of Fusarium equiseti Causing Postharvest Fruit Rot of Avocado in Türkiye</t>
  </si>
  <si>
    <t>Bozoğlu T.; Derviş S.; Özer G.; Türkkan M.</t>
  </si>
  <si>
    <t>10.1111/jph.70131</t>
  </si>
  <si>
    <t>Fusarium equiseti; Persea americana; postharvest fruit rot; rpb2 phylogeny; stem-end rot; tef1; Black Sea; amplification; fruit; inoculation; molecular analysis; phylogeny; RNA; root rot</t>
  </si>
  <si>
    <t>In September 2024, postharvest fruit rot, including stem-end rot, was observed on avocado in the Altınordu district of Ordu province, located in the Eastern Black Sea Region of Türkiye. A market survey revealed that 5% of fruit exhibited fruit rot symptoms, a subset of which displayed stem-end rot symptoms, including brown to black lesions extending into the mesocarp, shrivelling and fungal mycelium growth. Fusarium equiseti was identified as the causal agent through morphological characterisation and molecular analysis using PCR amplification and sequencing of translation elongation factor 1-alpha (tef1) and RNA polymerase II second largest subunit (rpb2) gene sequences, including phylogenetic analysis. Artificial inoculation and subsequent re-isolation confirmed Koch's postulates, verifying F. equiseti as the causal pathogen. This is the first report of F. equiseti causing both fruit rot and stem-end rot on avocado in Türkiye, highlighting the need for improved postharvest disease management strategies to reduce economic losses in Türkiye's avocado industry. © 2025 The Author(s). Journal of Phytopathology published by Wiley-VCH GmbH.</t>
  </si>
  <si>
    <t>Journal of Phytopathology</t>
  </si>
  <si>
    <t>scopus_export_Sep 17-2026_64f2de15-f34e-4ffa-b356-5d490b5ac07b.csv | scopus_export_Sep 18-2026_4e658477-f683-499d-a469-81d37efaa96b.csv</t>
  </si>
  <si>
    <t>A0013</t>
  </si>
  <si>
    <t>First report of Phytophthora cinnamomi causing avocado root rot in India</t>
  </si>
  <si>
    <t>Madhu G.S.; Rani A.T.; Muralidhara B.M.; Rajendiran S.; Sriram S.; Venkataravanappa V.</t>
  </si>
  <si>
    <t>10.1007/s42161-023-01471-5</t>
  </si>
  <si>
    <t>Avocado; Phytophthora cinnamomi; Root rot</t>
  </si>
  <si>
    <t>[No abstract available]</t>
  </si>
  <si>
    <t>Journal of Plant Pathology</t>
  </si>
  <si>
    <t>A0014</t>
  </si>
  <si>
    <t>Four new fungal pathogens causing avocado dieback in Brazil</t>
  </si>
  <si>
    <t>Silva T.F.; Pimentel Duarte J.L.; Vélez-Olmedo J.B.; Anderson dos Santos Vieira W.; Bassay Blum L.E.; Pinho D.B.</t>
  </si>
  <si>
    <t>10.1016/j.cropro.2025.107168</t>
  </si>
  <si>
    <t>Canker; Diagnosis; Persea americana; Phylogeny; Plant disease complex; Brazil; dicotyledon; dieback; etiology; fungal disease; fungus; pathogenicity; phylogeny; RNA</t>
  </si>
  <si>
    <t>Dieback is a disease with a complex etiology that results in the death of branches or entire plants in avocado producing regions. Losses associated with this disease have already been reported in the main producing regions of Brazil. The etiological agents of this disease are different and an association between fungi is often observed. This study aimed to identify fungi associated with avocado dieback in Brazil. Fungal isolates were collected from symptomatic avocado stems from orchards in São Paulo state. Identification was based on phenotypic characteristics and multilocus phylogenetic analysis of the translation elongation factor 1-alpha, RNA polymerase II, β-tubulin, actin, the internal transcribed spacer (ITS) region of rDNA, and the large subunit ribosomal RNA regions, according to the previously identified genus. The pathogenicity test confirmed that all species were pathogenic to avocado seedlings and fruits. This is the first report of Neopestalotiopsis arecacearum, Neocosmospora bostrycoides, Nectria pseudotrichia and Cytospora viridistroma causing avocado dieback in Brazil and worldwide. Identifying emerging pathogens that cause losses is crucial for avocado-producing countries with different climatic conditions, as it helps understand the geographic distribution of these phytopathogens and the conditions that favor their development. © 2025 Elsevier Ltd</t>
  </si>
  <si>
    <t>Crop Protection</t>
  </si>
  <si>
    <t>scopus_export_Sep 18-2026_6573fc91-2043-414f-a3dc-1112c7ddea01.csv</t>
  </si>
  <si>
    <t>A0015</t>
  </si>
  <si>
    <t>Fungal Pathogens Associated with Aerial Symptoms of Avocado (Persea americana Mill.) in Tenerife (Canary Islands, Spain) Focused on Species of the Family Botryosphaeriaceae</t>
  </si>
  <si>
    <t>Hernández D.; García-Pérez O.; Perera S.; González-Carracedo M.A.; Rodríguez-Pérez A.; Siverio F.</t>
  </si>
  <si>
    <t>10.3390/microorganisms11030585</t>
  </si>
  <si>
    <t>canker; dieback; Lasiodiplodia brasiliensis; Neofusicoccum australe; Neofusicoccum cryptoaustrale; Neofusicoccum luteum; Neofusicoccum parvum; Neofusicoccum stellenboschiana; Persea americana; stem-end rot</t>
  </si>
  <si>
    <t>Fungi of the family Botryosphaeriaceae are considered responsible for various symptoms in avocado such as dieback, external necrosis of branches and inflorescences, cankers on branches and trunks, or stem-end rot of fruits. In recent years, these problems are becoming more frequent in avocado orchards in the Canary Islands (Spain). This work includes the characterization of fungal species involved in these diseases, which were isolated from avocado crops in Tenerife Island between 2018 and 2022. A total of 158 vegetal samples were collected, from which 297 fungal isolates were culture-isolated. Fifty-two of them were selected according to their morphological features as representative isolates of Botryosphaeriaceae, and their molecular characterization was carried out, sequencing the ITS1-2 region as well as the β-tubulin and the elongation factor 1-alpha genes. Five species of Botryosphaeriaceae were isolated, including Neofusicoccum australe, N. cryptoaustrale/stellenboschiana, N. luteum, N. parvum, and Lasiodiplodia brasiliensis. This is the first time that L. brasiliensis has been associated with avocado dieback and that N. cryptoaustrale/stellenboschiana has been cited in avocado causing symptoms of dieback and stem-end rot. However, it was not possible to assign our isolates unequivocally to N. cryptoaustrale or N. stellenboschiana even additionally using the rpb2 marker for their molecular characterization. Botryosphaeriaceae family seem to be involved in avocado dieback, in the premature fall of fruits during their development in the field and in post-harvest damage in Tenerife, but further studies are needed to clarify the fungal pathogens associated with symptoms in relation to phenological plant growth stages or less frequently observed. © 2023 by the authors.</t>
  </si>
  <si>
    <t>Microorganisms</t>
  </si>
  <si>
    <t>scopus_export_Sep 18-2026_96199bb3-e2ff-4aa3-a2d7-ec2db6aced85.csv</t>
  </si>
  <si>
    <t>A0016</t>
  </si>
  <si>
    <t>Fungal Species of Botryosphaeriaceae Associated With Avocado Dieback in Southern Spain</t>
  </si>
  <si>
    <t>Crespo M.; Guirado-Manzano L.; Sarmiento D.; Guirado E.; de Vicente A.; Fernández-Ortuño D.; Cazorla F.M.; Arrebola E.</t>
  </si>
  <si>
    <t>10.1111/ppa.70079</t>
  </si>
  <si>
    <t>aetiology; cankers; Lasiodiplodia sp.; Neofusicoccum spp.; pathogenicity; Persea americana; Granada [Nicaragua]; dieback; etiology; fungal disease; fungus; irrigation system; pathogenicity; symptom</t>
  </si>
  <si>
    <t>Avocado (Persea americana) has become one of the most important subtropical crops in southern Spain. In recent years, the scarcity of irrigation water has made this crop susceptible to opportunistic diseases. This sensitivity has been associated with a series of symptoms characterised by the death of branches, mummification of fruits, cankers and reddening of the vascular bundles. To identify the aetiology of the disease, surveys have been carried out on avocado farms in the most affected areas, including Málaga and Granada (southern Spain). The surveys were conducted from 2019 to 2022. A total of 252 fungal isolates were recovered from trees with symptoms of dieback disease. Of these isolates, 172 were initially identified by sequencing the rDNA internal transcribed spacer (ITS) region to identify potential pathogens compatible with the symptoms. Based on the number of isolates, the most prevalent were Neofusicoccum spp. (110 isolates) and Lasiodiplodia sp. (15 isolates), although some isolates of Diaporthe sp. (four isolates) and Colletotrichum sp. (eight isolates) were also identified. Pathogenicity experiments in plants, branches and fruits confirmed these fungi as possible causal agents as they reproduced the symptoms found in diseased avocado crops. The frequency of isolates associated with dieback symptoms, along with greater severity in the reproduced symptoms, shows Botryosphaeriaceae species as the main cause of dieback in avocado in southern Spain. The main objective of the present study is to elucidate the aetiology of the disease to establish the infection time and thereby lay the groundwork for designing control studies. © 2025 The Author(s). Plant Pathology published by John Wiley &amp; Sons Ltd on behalf of British Society for Plant Pathology.</t>
  </si>
  <si>
    <t>scopus_export_Sep 17-2026_64f2de15-f34e-4ffa-b356-5d490b5ac07b.csv | scopus_export_Sep 18-2026_96199bb3-e2ff-4aa3-a2d7-ec2db6aced85.csv</t>
  </si>
  <si>
    <t>A0017</t>
  </si>
  <si>
    <t>Genome assembly and annotation of Rugonectria rugulosa, a fungus associated with avocado (Persea americana cv. Hass) trunk canker in Colombia</t>
  </si>
  <si>
    <t>Rincón López J.D.; Chacón-Vargas K.; Clavijo-Buriticá D.C.; García-Merchán V.H.</t>
  </si>
  <si>
    <t>10.1128/mra.00512-26</t>
  </si>
  <si>
    <t>avocado; fungal genomics; genome assembly; Nectriaceae; plant pathogen; Rugonectria rugulosa; secondary metabolites; trunk canker; wilting; Article; avocado; Colombia; fungal genome; fungus; fungus isolation; genomics; nonhuman; phytopathogen; Rugonectria rugulosa</t>
  </si>
  <si>
    <t>Rugonectria rugulosa is a member of the family Nectriaceae associated with trunk canker diseases in woody plants, including avocado (Persea americana cv. Hass). Here, we report the 53 Mb draft genome assembly of a Colombian isolate, providing a genomic resource to investigate the biology and pathogenic potential of this species. Copyright © 2026 Rincón López et al.</t>
  </si>
  <si>
    <t>Microbiology Resource Announcements</t>
  </si>
  <si>
    <t>Importado (primer autor corregido según el PDF: Scopus lo registra como López J.D.R.)</t>
  </si>
  <si>
    <t>scopus_export_Sep 17-2026_64f2de15-f34e-4ffa-b356-5d490b5ac07b.csv | scopus_export_Sep 18-2026_6573fc91-2043-414f-a3dc-1112c7ddea01.csv</t>
  </si>
  <si>
    <t>A0018</t>
  </si>
  <si>
    <t>Identification and Pathogenicity of Botryosphaeriaceae, Colletotrichum, and Phytophthora Species Associated with Avocado Diseases in Italy</t>
  </si>
  <si>
    <t>Linaldeddu B.T.; Bregant C.; Muscas J.; Maddau L.; Vecchio L.; Polizzi G.; Aiello D.</t>
  </si>
  <si>
    <t>10.3390/agriculture16101035</t>
  </si>
  <si>
    <t>Botryosphaeriaceae; co-infections; holistic diagnosis; oomycetes</t>
  </si>
  <si>
    <t>With the rapid expansion of avocado cultivation in southern Italy, growers have had to deal with the emergence of new diseases often caused by invasive and polyphagous pathogens responsible for leaf spot, branch cankers, dieback and fruit and root rot. Given the severity of these emerging diseases, a study was conducted in the main avocado growing areas in Sardinia and Sicily (Italy) to isolate and characterize the causal agents. Specifically, a total of 430 symptomatic leaf, fruit, branch, stem and root samples were collected and examined. Isolations performed on both non-selective and selective growth media yielded 22 species (fungi and oomycetes) belonging to the genera Botryosphaeria, Colletotrichum, Diplodia, Dothiorella, Macrophomina, Neofusicoccum and Phytophthora, including 14 new host–pathogen records in Italy. Notably, Neofusicoccum australe, Phytophthora cinnamomi and Phytophthora palmivora emerged as the main pathogens involved in the emerging avocado diseases. The identified pathogens were often isolated simultaneously from the same plants, which exhibited a complex of symptoms. Pathogenicity bioassays have helped to clarify the differences in aggressiveness among the different species and their specificity towards the different plant organs. The results achieved suggest that avocado orchards’ productivity and profitability is threatened by a plethora of unrelated pathogens whose control represents a major challenge for the success of this crop in Italy. © 2026 by the authors.</t>
  </si>
  <si>
    <t>Agriculture (Switzerland)</t>
  </si>
  <si>
    <t>A0019</t>
  </si>
  <si>
    <t>Identification and Pathogenicity of Fungal Pathogens Associated with Stem End Rots of Avocado Fruits in Kenya</t>
  </si>
  <si>
    <t>Wanjiku E.K.; Waceke J.W.; Wanjala B.W.; Mbaka J.N.</t>
  </si>
  <si>
    <t>10.1155/2020/4063697</t>
  </si>
  <si>
    <t>No especificado</t>
  </si>
  <si>
    <t>Losses associated with stem end rot (SER) of avocado fruits have been reported in all avocado growing regions of the world. In Kenya, mature avocado fruits present SER symptoms during storage and marketing, but the disease causal agent(s) has not been established. This study aimed to identify the fungal pathogen(s) associated with avocado SER in Kenya and evaluate its pathogenicity. Fungal isolates were collected from symptomatic avocado fruits from randomly selected orchards and major markets within Murang'a County, a major avocado growing region in Kenya, between September 2017 and March 2018. A total of 207 and 125 fungal isolates, recovered from orchards and major markets, respectively, were identified morphologically and further confirmed by molecular techniques. The identified isolates were Lasiodiplodia theobromae (39.8%), Neofusicoccum parvum (24.4%), Nectria pseudotrichia (18.4%), Fusarium solani (7.2%), F. oxysporum (5.1%), F. equiseti (3.9%), and Geotricum candidum (1.2%). Geotricum candidum was exclusively recovered from fruits from the market. In the pathogenicity test, L. theobromae, N. parvum, and N. pseudotrichia caused the most severe SER symptoms. Consequently, they were considered to be the major pathogens of SER of avocado fruits in Kenya. To our knowledge, this is the first report of SER pathogen of avocado fruits in Kenya. Given the significant contribution of avocado fruits to household income and foreign exchange in Kenya, this information is significant to further develop management strategies of postharvest loss of avocado fruits in Kenya.  © 2020 E. K. Wanjiku et al.</t>
  </si>
  <si>
    <t>International Journal of Microbiology</t>
  </si>
  <si>
    <t>A0020</t>
  </si>
  <si>
    <t>Identification and pathogenicity of fungal pathogens on avocado 034 in Vietnam</t>
  </si>
  <si>
    <t>Lieu M.D.; Huynh T.B.T.; Nguyen T.B.; Phuong T.V.; Dang T.K.T.; Nguyen T.H.</t>
  </si>
  <si>
    <t>10.26656/fr.2017.9(5).332</t>
  </si>
  <si>
    <t>Avocado; Fungal pathogen; Pathogenicity; Post-harvest; Article; Aspergillus flavus; Aspergillus niger; avocado; Colletotrichum; fungal pathogen; Fusarium solani; gene sequence; Geotrichum; growth rate; infectious agent; Lasiodiplodia theobromae; microscopy; Mucor; mycelium; nonhuman; pathogenicity; relative humidity; Sanger sequencing; soybean; Viet Nam</t>
  </si>
  <si>
    <t>Avocado (Persea americana Mill.) is a popular fruit because of its high nutritional content and high economic value. However, this fruit is susceptible to microbial invasion, especially diseases caused by fungi, causing heavy post-harvest losses. The study aimed to determine the origin of fungal pathogens through isolation and identification based on microscopic morphological characteristics, pathogenicity tests, and gene sequences. Significant fungal pathogens causing spoilage diseases on avocados were identified by isolating spoiled avocado samples from five regions in Lam Dong province. Samples of avocado 034 (Persea americana Mill. Cv. 034) with natural disease symptoms were collected with 138 representatives of six genera, including Lasiodiplodia spp., Colletotrichum spp., Aspergillus spp., Fusarium spp., Geotrichum spp., and Mucor spp. The growth rate of mycelium showed the genus Mucor spp. had the fastest growth on PDA medium at 30oC, followed by the genera Lasiodiplodia spp., Colletotrichum spp., Aspergillus spp., Fusarium spp. and Geotrichum spp. However, the pathogenicity test evaluation indicated that the genera causing the most severe damage on avocados were Lasiodiplodia spp and Colletotrichum spp., with 77.78% and 67.90% of the spoilage rate, respectively. Next were the genera Fusarium spp., Aspergillus spp., Geotrichum spp., and Mucor spp., with damage ranging from 40.74% to 42.59%. © 2025 The Authors.</t>
  </si>
  <si>
    <t>Food Research</t>
  </si>
  <si>
    <t>A0021</t>
  </si>
  <si>
    <t>Identification of Phytophthora cinnamomi CRN effectors and their roles in manipulating cell death during Persea americana infection</t>
  </si>
  <si>
    <t>Midgley K.A.; van den Berg N.; Backer R.; Swart V.</t>
  </si>
  <si>
    <t>10.1186/s12864-024-10358-3</t>
  </si>
  <si>
    <t>Alleles; Crinkler effectors; Hemibiotroph; In silico; Molecular characterization; Phytophthora; Plant-pathogen interactions; Protein prediction; Cell Death; Persea; Phytophthora; Plant Diseases; allele; Article; avocado; cell death; controlled study; gene expression profiling; host range; infection; nonhuman; phylogenetic tree; phylogeny; Phytophthora cinnamomi; prediction; protein structure; reverse transcription polymerase chain reaction; RNA sequence; RNA sequencing; Sanger sequencing; single nucleotide polymorphism; validation process; genetics; microbiology; pathogenicity; Persea; physiology; Phytophthora; plant disease</t>
  </si>
  <si>
    <t>The oomycete Phytophthora cinnamomi is a devastating plant pathogen with a notably broad host range. It is the causal agent of Phytophthora root rot (PRR), arguably the most economically important yield-limiting disease in Persea americana (avocado). Despite this, our understanding of the mechanisms P. cinnamomi employs to infect and successfully colonize avocado remains limited, particularly regarding the pathogen’s ability to maintain its biotrophic and necrotrophic lifestyles during infection. The pathogen utilises a large repertoire of effector proteins which function in facilitating and establishing disease in susceptible host plants. Crinkling and necrosis effectors (CRN/Crinklers) are suspected to manipulate cell death to aid in maintenance of the pathogens biotrophic and necrotrophic lifestyles during different stages of infection. The current study identified 25 P. cinnamomi CRN effectors from the GKB4 genome using an HMM profile and assigned putative function to them as either cell death inducers or suppressors. Function was assigned to 10 PcinCRNs by analysing their RNA-seq expression profiles, relatedness to other functionally characterised Phytophthora CRNs and tertiary protein predictions. The full-length coding sequences for these PcinCRNs were confirmed by Sanger sequencing, six of which were found to have two divergent alleles. The presence of alleles indicates that the proteins encoded may perform contradicting functions in cell death manipulation, or function in different host plant species. Overall, this study provides a foundation for future research on P. cinnamomi infection and cell death manipulation mechanisms. © The Author(s) 2024.</t>
  </si>
  <si>
    <t>BMC Genomics</t>
  </si>
  <si>
    <t>A0022</t>
  </si>
  <si>
    <t>Identification, pathogenicity and distribution of the causal agents of dieback in avocado orchards in Spain</t>
  </si>
  <si>
    <t>Arjona-Girona I.; Ruano-Rosa D.; López-Herrera C.J.</t>
  </si>
  <si>
    <t>10.5424/sjar/2019171-13561</t>
  </si>
  <si>
    <t>Botryosphaeriaceae; Colletotrichum; Lasiodiplodia; Neofusicoccum; Persea americana</t>
  </si>
  <si>
    <t>An increased incidence of dieback from branches in several avocado orchards in southern Spain was observed in 2014. Surveys were conducted from May to October 2014, sampling the affected branches to isolate the causal agents. A total of 68 fungal isolates, recovered from ten avocado orchards, were identified, by morphological characterisation and DNA sequencing, as belonging to the genera: Neofusicoccum parvum (50%), Colletotrichum gloeosporioides (17.6%), Neofusicoccum luteum (16.2%), Neofusicoccum australe (13.2%), Neofusicoccum mediterraneum (1.5%) and Lasiodiplodia theobromae (1.5%). A decreasing level of virulence in artificial inoculations on avocado plants was observed in N. parvum, N. luteum, N. mediterraneum, N. australe, C. gloeosporioides and L. theobromae, there were significant differences among N. parvum and the rest of species of this genus, and significant differences were only observed between N. luteum and C. gloeosporioides. The geographical distribution of N. parvum and N. Luteum covers different areas, while C. gloeosporioides and N. australe are located only in the areas around Benamocarra and Vélez-Málaga (southern Spain), while N. mediterraneum and L. theobromae appear only occasionally. This is the first study of avocado branch cankers in Spain which identifies the causal agents and establishes their pathogenicity groups, with N. parvum as the most important causal agent of avocado dieback in this area. © 2019 INIA.</t>
  </si>
  <si>
    <t>Spanish Journal of Agricultural Research</t>
  </si>
  <si>
    <t>A0023</t>
  </si>
  <si>
    <t>Integrated proposal for management of root rot caused by Phytophthora cinnamomi in avocado cv. Hass crops</t>
  </si>
  <si>
    <t>Ramírez-Gil J.G.; Morales-Osorio J.G.</t>
  </si>
  <si>
    <t>10.1016/j.cropro.2020.105271</t>
  </si>
  <si>
    <t>Biological control; New alternatives; Reduction of disease; Sustainable diseases management; Bacillus sp.; Basidiomycota; Bovinae; Persea americana; Phytophthora cinnamomi; Trichoderma; alga; biocontrol agent; biological control; crop plant; disease control; fungicide; fungus; integrated approach; microorganism; pathogen; pesticide application; root rot; symptom</t>
  </si>
  <si>
    <t>Phytophthora cinnamomi is the most important pathogen in avocado crops that causes the disease named avocado root rot (PRR). This disease affects the root system and induces multiple symptoms that end with plant death and causes large economic losses. PRR management is based almost exclusively on the use of fungicides (metalaxyl and phosphites). This situation led to inefficient management practices with apparently satisfactory results only in short periods. The objective of this work was to evaluate different PRR management practices under in vitro, net house and field conditions. The initial part of the study was carried out under in vitro and net house conditions evaluating different types of ions (boron, zinc and manganese chelate), the auxin α naphthaleneacetic, fungicides (potassium phosphite, fosetyl aluminium and metalaxyl) and microorganisms associated with biological control of diseases. For field conditions, the most promising strategies were selected, which included fungicide use (rotation of metalaxyl and phosphites), organic matter in the form of residues of vegetables and mushrooms, use of foliar (manganese) and soil (calcium, magnesium, phosphorus, and silicon) ions, additions of bovine manure, beneficial microorganisms (Rizoglomus fasciculatum, Trichoderma sp., and Bacillus sp.), edaphic application of auxin and an energy source (sucrose). Results indicated that individual control methods of PRR are not sustainable over time. However, the implementation of a disease integrated management program including several strategies of control proved to be effective for PRR. At the same time that PRR was satisfactorily managed, the economic sustainability was achieved and it was possible to reduce the reliance on phosphonate applications. © 2020 Elsevier Ltd</t>
  </si>
  <si>
    <t>A0024</t>
  </si>
  <si>
    <t>Integrated Strategies to Reduce Botryosphaeriaceae-Associated Dieback in Avocado Under Mediterranean Climatic Stress</t>
  </si>
  <si>
    <t>Guirado-Manzano L.; Santamaría-Ortega J.F.; Sarmiento D.; Guirado E.; Pulido-Ruiz M.; de Vicente A.; Fernández-Ortuño D.; Cazorla F.M.; Arrebola E.</t>
  </si>
  <si>
    <t>10.3390/horticulturae12060673</t>
  </si>
  <si>
    <t>autumn pruning; avocado; eco-friendly control; gibberellic acid; integrated disease management; Neofusicoccum; potassium silicate</t>
  </si>
  <si>
    <t>Avocado (Persea americana Mill.) is gaining economic relevance in Mediterranean regions such as southern Spain. In recent years, production has been severely affected by dieback caused by Botryosphaeriaceae species, a problem intensified under drought conditions. Conventional chemical control has shown limited effectiveness due to the scarce availability of fungicides and the difficulty of targeting pathogens colonizing lignified tissues. This study therefore evaluated eco-friendly control strategies comparing their performance with conventional fungicides and complementary cultural practices within an integrated management framework. Varietal tolerance significantly influenced symptom development and yield, with younger trees (1–2 years old) being more susceptible. Among the tested treatments, potassium silicate (K-Link) was associated with moderate reduction in disease intensity, with decreases in disease index ranging from 5–10%. Other products, including the biostimulant Brotolom® SOILFORCE (BTL) and the disinfectant Huwa San® TR50, also showed reductions in disease severity (approximately 5% and up to 14%, respectively), although their effects varied depending on cultivar and season. Cultural practices such as autumn pruning reduced symptoms and improved yield but required greater economic and labor inputs. In contrast, gibberellic acid was highly effective, reducing flowering, improving canopy balance, decreasing dieback incidence by 28%, and increasing yield by 34%. Integrating eco-friendly products, particularly potassium silicate, with targeted cultural practices and gibberellic acid application provides effective and sustainable tools to mitigate avocado dieback under Mediterranean conditions. © 2026 by the authors.</t>
  </si>
  <si>
    <t>A0025</t>
  </si>
  <si>
    <t>Lasiodiplodia theobromae disease symptom development in young avocado (Persea americana L.) plants depends on the inoculation method</t>
  </si>
  <si>
    <t>Rodríguez-Gálvez E.; Haro-Diaz C.; Maza-Aguirre S.; Canahuire-Castillo F.; Sullón-Saucedo J.; Deising H.B.</t>
  </si>
  <si>
    <t>10.1007/s40858-025-00700-9</t>
  </si>
  <si>
    <t>Avocado; External and internal necrosis; Lasiodiplodia theobromae; Persea americana; Symptom development; Virulence</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</si>
  <si>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 © The Author(s) 2025.</t>
  </si>
  <si>
    <t>Tropical Plant Pathology</t>
  </si>
  <si>
    <t>A0026</t>
  </si>
  <si>
    <t>Multigene phylogeny and diversity of Phytophthora and Phytopythium species associated with avocado root rot in India and development of a point-of-care LAMP assay for Phytophthora cinnamomi and Phytopythium vexans</t>
  </si>
  <si>
    <t>Madhu G.S.; Rani A.T.; Muralidhara B.M.; Deepak G.N.; Rajendiran S.; Ayyandurai M.; Venkataravanappa V.</t>
  </si>
  <si>
    <t>10.1016/j.pmpp.2025.102735</t>
  </si>
  <si>
    <t>Avocado; LAMP; Phytophthora cinnamomi; Phytophthora species; Phytopythium vexans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</si>
  <si>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 © 2025 Elsevier Ltd</t>
  </si>
  <si>
    <t>Physiological and Molecular Plant Pathology</t>
  </si>
  <si>
    <t>Importado (sin PDF propio; su texto completo es el de A0044, de ScienceDirect)</t>
  </si>
  <si>
    <t>A0027</t>
  </si>
  <si>
    <t>Penetration by Botryosphaeriaceae species in avocado, guava and persimmon fruit during postharvest</t>
  </si>
  <si>
    <t>Navarro B.L.; Edwards Molina J.P.; Nogueira Júnior A.F.</t>
  </si>
  <si>
    <t>10.1111/jph.13055</t>
  </si>
  <si>
    <t>Botryosphaeria dothidea; Diospyros kaki; Lasiodiplodia pseudotheobromae; Neofusicoccum parvum; Persea americana; postharvest diseases; Psidium guajava; scanning electron microscopy; Botryosphaeria dothidea; Botryosphaeriaceae; Diospyros; Diospyros kaki; Dothidea; Lasiodiplodia; Persea americana; Psidium guajava; aggression; disease control; fruit; fungus; host specificity; scanning electron microscopy; stomata</t>
  </si>
  <si>
    <t>Botryosphaeriaceae species have a wide host range and a worldwide distribution. These fungal species can colonize several plant organs, such as the trunk, leaves and fruit. Some Botryosphaeriaceae species cause important diseases on persimmon, avocado and guava fruit. However, there is a lack of information regarding the mechanisms of penetration by Botryosphaeriaceae species on these tropical and subtropical fruits. This study aimed to better understand the mechanisms involved in fungal penetration, host specificity and aggressiveness of Botryosphaeria dothidea, Lasiodiplodia pseudotheobromae and Neofusicoccum parvum on avocado (Persea americana), guava (Psidium guajava) and persimmon (Diospyros kaki) fruit. Scanning electron microscopy (SEM) image analysis showed that in avocado fruit, the three studied Botryosphaeriaceae species penetrated through lenticels. In guava fruit, penetration through stomata was verified for Botryosphaeria dothidea and Neofusicoccum parvum. In persimmon fruit, an appressoria-like structure was observed for B. dothidea, which suggests direct penetration. Disease incidence in wounded fruit was 24% higher than in non-wounded fruit. L. pseudotheobromae and N. parvum showed differences in aggressiveness in guava fruit. The longest incubation period was observed for N. parvum inoculated on guava, with an average of 4.5 days, and the shortest incubation period was verified for B. dothidea inoculated on avocado, with an average of 2.8 days. The area under the disease progress curve (AUDPC) did not differ between Botryosphaeriaceae species on avocado, whereas on guava and persimmon fruit, the AUDPC was lower for B. dothidea. The information regarding penetration mechanisms and aggressiveness is important to improve postharvest disease control strategies. © 2021 The Authors. Journal of Phytopathology published by Wiley-VCH GmbH</t>
  </si>
  <si>
    <t>A0028</t>
  </si>
  <si>
    <t>Phylogenetic diversity and pathogenicity of Colletotrichum species associated with avocado anthracnose in Chile</t>
  </si>
  <si>
    <t>Bustamante M.I.; Fernández Y.; Navarro C.O.; Cárdenas C.; Bourret T.B.; Eskalen A.; Henríquez-Sáez J.L.</t>
  </si>
  <si>
    <t>10.36253/phyto-16790</t>
  </si>
  <si>
    <t>Etiology; Persea americana; postharvest disease</t>
  </si>
  <si>
    <t>Anthracnose, caused by Colletotrichum species, is a major disease of avocado (Persea americana) that significantly reduces fruit quality and export potential in Chile. Colletotrichum species associated with this disease were identified and their pathogenicity to avocado was assessed. In the summer of 2018, healthy fruits (n = 1,335) were sampled from three commercial groves located in the Metropolitan, O’Higgins and Valparaíso regions of Chile, and from a non-commercial grove and local markets. Fruits were stored until symptoms developed, indicating anthracnose incidence in commercial groves ranging from 10 to 50%. A total of 146 fungal isolates were obtained from symptomatic fruit and were initially identified as Colletotrichum spp. Fifty representative isolates were further identified through multilocus phylogenetic analyses. Ten species belonging to four species complexes were identified. Colletotrichum cf. cigarro was the most frequent taxon (n = 17), followed by C. pyricola (n = 9), C. gloeosporioides (n = 6), C. jiangxiense (n = 5), C. karsti (n = 4), C. anthrisci (n = 3), C. brassicicola (n = 3), C. laurosilvaticum (n = 1), C. fructicola (n = 1), and C. perseae (n = 1). Pathogenicity tests reproduced anthracnose symptoms in inoculated fruits, whereas control fruits remained symptomless, and revealed differences in virulence among isolates and species. This study provides the first report of C. brassicicola, C. laurosilvaticum and C. pyricola as causal agents of avocado anthracnose, highlights the diversity of Colletotrichum species in Chilean avocado groves, and provides insights for improved management strategies for avocado anthracnose. © 2026 Author(s). This is an open access, peer-reviewed article published by Firenze University Press (https://www.fupress.com) and distributed, except where otherwise noted, under the terms of the CC BY 4.0 License for content and CC0 1.0 Universal for metadata.</t>
  </si>
  <si>
    <t>Phytopathologia Mediterranea</t>
  </si>
  <si>
    <t>A0029</t>
  </si>
  <si>
    <t>Phytophthora cinnamomi Populations Affecting Avocado in California Show Low Differentiation, Phenotypic Variability, and Introductions from Mexico</t>
  </si>
  <si>
    <t>Shands A.C.; Mondragón-Flores A.; Valencia V.; Hua V.; Cauldron N.C.; Grünwald N.J.; Fernández-Pavía S.P.; Manosalva P.M.</t>
  </si>
  <si>
    <t>10.1094/MPMI-08-24-0101-R</t>
  </si>
  <si>
    <t>oomycete; Phytophthora root rot; ploidy; population biology; potassium phosphite; California; Genetic Variation; Mexico; Persea; Phenotype; Phylogeny; Phytophthora; Plant Diseases; Plant Roots; California; genetic variation; genetics; Mexico; microbiology; parasitology; pathogenicity; Persea; phenotype; phylogeny; physiology; Phytophthora; plant disease; plant root</t>
  </si>
  <si>
    <t>Phytophthora root rot (PRR), caused by Phytophthora cinnamomi, is one of the most devastating avocado diseases worldwide. We previously reported a group of genetically distinct, more virulent, and less fungicide-sensitive isolates corresponding to the A2 clade II clonal population in southern avocado-growing regions in California that may have originated from Mexico. To test this hypothesis, we assessed the genetic and phenotypic diversity of the California and Mexico avocado P. cinnamomi populations. We found that P. cinnamomi populations in these two locations belong to the two previously described A2 clades. Higher genetic differentiation was detected among Mexican isolates when compared with the populations from California; however, most Mexican isolates clustered with the California A2 clade II populations, providing evidence for the Mexican origin of these isolates in southern avocado-growing regions. With the exception of one diploid Mexican isolate, all isolates were estimated to be triploid based on inferred allele ratios. Despite clonality, wide phenotypic variability was detected within and among populations regarding growth rate, optimal growth temperature, fungicide sensitivity, and virulence. Interestingly, contrasting virulence patterns were found depending on the host and infected tissue utilized. This study reveals the adaptative capacity of clonal P. cinnamomi populations to local environments and control methods. Pathogen migration between Mexico and California was also inferred, which highlights a pathway that should be surveilled if further emergence is to be avoided. Monitoring and characterizing the P. cinnamomi populations is critical to developing effective and durable PRR control methods to ensure the sustainability of the avocado industry worldwide. © 2025 The Author(s).</t>
  </si>
  <si>
    <t>Molecular Plant-Microbe Interactions</t>
  </si>
  <si>
    <t>A0030</t>
  </si>
  <si>
    <t>Phytophthora root rot induces compositional and functional changes in avocado rhizosphere bacterial communities</t>
  </si>
  <si>
    <t>Alfaro-García R.G.; Vargas-Mejía P.; Patiño-Conde V.; Rebollar E.A.; Guerrero-Analco J.A.; Vega-Arreguín J.; Reverchon F.; Méndez-Bravo A.</t>
  </si>
  <si>
    <t>10.1093/femsmc/xtag025</t>
  </si>
  <si>
    <t>Dysbiosis; Metatranscriptomics; Persea americana; Phytophthora cinnamomi; Rhizobacteria; Stress response</t>
  </si>
  <si>
    <t>Understanding how plant pathogens modulate the rhizosphere microbiota is essential to integrated disease management. Here, the compositional and functional shifts in the avocado rhizosphere bacteriome induced by Phytophthora cinnamomi were assessed to identify bacterial taxa enriched in the symptomatic condition and elucidate the microbial functions modulated by the infection. Metabarcoding and metatranscriptomics analyses revealed that Phytophthora root rot (PRR) induced compositional shifts in bacterial communities, leading to the enrichment of members of MND1, RB41, and Nitrospira. Functional analysis showed that this enrichment might be due to the release of nutrients following root rot, as carbohydrate metabolism was stimulated in rhizobacterial communities of infected trees. Moreover, the relative abundance of transcripts from genes associated with stress response and cell signaling increased in some of the most active genera in the rhizosphere of PRR-symptomatic trees, suggesting their potential to mitigate the adverse effects of infection. These findings highlight the need to combine compositional and functional microbiome data to differentiate between taxa attracted by nutrient release and those contributing to the plant defense. The interactions of beneficial bacterial taxa with the pathogen should be further studied, as they may constitute promising biocontrol agents. © The Author(s) 2026. Published by Oxford University Press on behalf of FEMS. This is an Open Access article distributed under the terms of the Creative Commons Attribution License (https://creativecommons.org/licenses/by/4.0/), which permits unrestricted reuse, distribution, and reproduction in any medium, provided the original work is properly cited.</t>
  </si>
  <si>
    <t>FEMS Microbes</t>
  </si>
  <si>
    <t>A0031</t>
  </si>
  <si>
    <t>Phytophthora Root Rot Modifies the Composition of the Avocado Rhizosphere Microbiome and Increases the Abundance of Opportunistic Fungal Pathogens</t>
  </si>
  <si>
    <t>Solís-García I.A.; Ceballos-Luna O.; Cortazar-Murillo E.M.; Desgarennes D.; Garay-Serrano E.; Patiño-Conde V.; Guevara-Avendaño E.; Méndez-Bravo A.; Reverchon F.</t>
  </si>
  <si>
    <t>10.3389/fmicb.2020.574110</t>
  </si>
  <si>
    <t>Fusarium; Mortierella; Persea americana; rhizosphere microbial communities; root necrotizing fungi; chloramphenicol; DNA 16S; polyketide; RNA 16S; Acidobacteria; Actinobacteria; antibiotic resistance; Article; avocado; Bacillales; Bacillus; bacterial microbiome; bacterium identification; bacterium isolation; Bacteroidetes; Burkholderiales; Chloroflexi; defoliation; DNA extraction; Dothideomycetes; Firmicutes; Fusarium; gene amplification; gene sequence; health status; Helotiales; Lasiodiplodia; metagenomics; microbial community; microbial diversity; microbiome; morphotype; Mortierella; mycelial growth; nonhuman; pathogenicity; Phytophthora; Planctomycetes; plant growth; polymerase chain reaction; Proteobacteria; Pseudomonadales; quorum sensing; Rhizobiales; rhizosphere; root rot; Sanger sequencing; Scytalidium; Veracruz (state); Verrucomicrobia</t>
  </si>
  <si>
    <t>The structure and function of rhizosphere microbial communities are affected by the plant health status. In this study, we investigated the effect of root rot on the avocado rhizosphere microbiome, using 16S rDNA and ITS sequencing. Furthermore, we isolated potential fungal pathogens associated with root rot symptoms and assessed their pathogenic activity on avocado. We found that root rot did not affect species richness, diversity or community structure, but induced changes in the relative abundance of several microbial taxa. Root rot increased the proportion of Pseudomonadales and Burkholderiales in the rhizosphere but reduced that of Actinobacteria, Bacillus spp. and Rhizobiales. An increase in putative opportunistic fungal pathogens was also detected in the roots of symptomatic trees; the potential pathogenicity of Mortierella sp., Fusarium spp., Lasiodiplodia sp. and Scytalidium sp., is reported for the first time for the State of Veracruz, Mexico. Root rot also potentially modified the predicted functions carried out by rhizobacteria, reducing the proportion of categories linked with the lipid and amino-acid metabolisms whilst promoting those associated with quorum sensing, virulence, and antibiotic resistance. Altogether, our results could help identifying microbial taxa associated to the disease causal agents and direct the selection of plant growth-promoting bacteria for the development of biocontrol microbial consortia. © Copyright © 2021 Solís-García, Ceballos-Luna, Cortazar-Murillo, Desgarennes, Garay-Serrano, Patiño-Conde, Guevara-Avendaño, Méndez-Bravo and Reverchon.</t>
  </si>
  <si>
    <t>Frontiers in Microbiology</t>
  </si>
  <si>
    <t>A0032</t>
  </si>
  <si>
    <t>Phytophthora species causing root rot in avocado seedlings at Colombian nurseries: Morphological, molecular, and pathogenic analysis</t>
  </si>
  <si>
    <t>Palacios-Joya L.P.; Rodríguez-Arévalo K.A.; Martínez M.F.; Murcia-Riaño N.; Rodríguez-Mora D.M.</t>
  </si>
  <si>
    <t>10.17268/sci.agropecu.2025.010</t>
  </si>
  <si>
    <t>P. heveae; PCR; Persea americana; Phytophthora cinnamomi; wilting</t>
  </si>
  <si>
    <t>Expansion of avocado production areas in Colombia has led to an increased demand for plant propagation material. However, this expansion has exacerbated phytosanitary challenges, particularly root rot disease mainly associated with Phytophthora spp. Therefore, this study aimed to identify Phytophthora species associated with root rot in avocado seedlings within nurseries. Avocado plants exhibiting wilting symptoms were collected from nurseries in the departments of Quindío, Risaralda, and Valle del Cauca (Colombia). Segments of diseased roots were selected, cut, and surface-disinfected, before being planted on Potato Dextrose Agar (PDA) supplemented with antibiotics and fungicides. Microorganism identification was conducted using taxonomic keys and confirmed by molecular techniques employing the identification based on phylogenetic hypothesis, using ITS1-5.8s-ITS2 region encoding for rRNA. Isolates obtained from necrotic avocado roots were identified as P. cinnamomi and P. heveae. The pathogenicity of the isolates was confirmed in avocado seedlings through inoculation, resulting in symptom reproduction. Consequently, this study identified P. cinnamomi and P. heveae as causal agents of root rot in avocado during the nursery stage. © 2025 Universidad Nacional de Trujillo. All rights reserved.</t>
  </si>
  <si>
    <t>Scientia Agropecuaria</t>
  </si>
  <si>
    <t>scopus_export_Sep 17-2026_64f2de15-f34e-4ffa-b356-5d490b5ac07b.csv | scopus_export_Sep 18-2026_162c1d26-553e-41ee-8ea1-e9ecd3a7eea2.csv</t>
  </si>
  <si>
    <t>A0033</t>
  </si>
  <si>
    <t>Positive effect of lippia sidoides essential oil associated with carboxymethylcellulose in the control of anthracnose in avocado</t>
  </si>
  <si>
    <t>Antonia B.D.; de Oliveira J.; da Silva P.P.M.; dos Mares Biazotto A.; de Toledo N.M.V.; da Glória E.M.; Spoto M.H.F.</t>
  </si>
  <si>
    <t>10.1186/s43014-023-00209-1</t>
  </si>
  <si>
    <t>Alternative control; Colletotrichum gloeosporioides; Edible coatings; Persea americana; Postharvest; Coatings; Cold storage; Fruits; Microwave integrated circuits; Quality control; Alternative control; Antifungal activities; Carboxymethyl cellulose; Chemical products; Colletotrichum gloeosporioides; Edible coating; Lippia sidoides; Persea americana; Post-harvest treatments; Postharvest; Essential oils</t>
  </si>
  <si>
    <t>The fungus Colletotrichum gloeosporioides, which is the causal agent of anthracnose disease in green-skinned avocados, is responsible for significant postharvest fruit losses. In this context, strategies should be considered to avoid this problem. The use of essential oil (EO) can represent an alternative to contribute to antifungal activity, avoiding the use of chemical products, as their indiscriminate use can have harmful effects on human health. It is known that essential oil (EO) may exhibit antifungal activity and can be used as an alternative to chemical products. Therefore, the potential of using Lippia sidoides EO to control this fungus was investigated through in vitro evaluation (MIC and EC50) on C. gloeosporioides isolated from avocados. Furthermore, the potential of incorporating this oil with carboxymethylcellulose (CMC) for postharvest treatment in avocados was assessed in vivo to control anthracnose and maintain their physicochemical and sensory quality. The EO from L. sidoides demonstrated a MIC of 125 μl L−1 and an EC50 of 46.83 μl L−1 against this pathogen. The results indicated that the CMC edible coating associated with L. sidoides EO exhibited a positive effect on fruit quality during cold storage. In terms of sensory aspects, avocados treated with L. sidoides EO associated with CMC showed improved appearance compared to the control treatment. These findings suggest that L. sidoides EO has potential in the postharvest treatment of avocados. Additionally, these results are significant and unprecedented for this crop, as research on the postharvest effects of incorporating this EO with edible coatings in avocados is still limited. Graphical Abstract: (Figure presented.). © The Author(s) 2024.</t>
  </si>
  <si>
    <t>Food Production, Processing and Nutrition</t>
  </si>
  <si>
    <t>A0034</t>
  </si>
  <si>
    <t>Rainfall and High Humidity Influence the Seasonal Dynamics of Spores of Glomerellaceae and Botryosphaeriaceae Genera in Avocado Orchards and Their Fruit Rot Association</t>
  </si>
  <si>
    <t>Tapia L.; Castillo-Novales D.; Riquelme N.; Valencia A.L.; Larach A.; Cautín R.; Besoain X.</t>
  </si>
  <si>
    <t>10.3390/agronomy15061453</t>
  </si>
  <si>
    <t>avocado; Botryosphaeriaceae; climatic factors; Glomerellaceae; spore dispersion; Chile; Mexico [North America]; Santo Domingo; Valparaiso [Chile]; anthracnose; biomonitoring; damage; disease severity; DNA; environmental factor; fungal disease; orchard; rainfall; seasonal variation; spore</t>
  </si>
  <si>
    <t>Avocado, a fruit consumed worldwide and essential for countries like Mexico and Chile, faces significant postharvest challenges, particularly during prolonged storage and transportation periods, where Botryosphaeriaceae and Glomerellaceae genera cause fruit rots that can generate substantial economic losses. This study investigated three Hass avocado orchards in the Valparaíso region of Chile to identify spore dispersion peaks, analyze the aerial dynamics of fungal inoculum, and evaluate the association with climatic conditions, as well as the incidence (I) and damage index (DI) of fruit rots. Spore traps were installed in symptomatic trees and monitored weekly over 13 months. Meteorological data were collected in parallel. Fruits from these orchards were sampled to evaluate postharvest rots, physiological maturity, and disease severity using molecular techniques, including DNA sequencing and phylogenetic analysis of isolated pathogens. The results revealed that spore peaks for both fungal families were closely associated with increased rainfall and high relative humidity, particularly from June to mid-September (winter season). The Santo Domingo orchard exhibited the highest disease pressure, with stem-end rot reaching an I of 44% and a DI of 17.25%, and anthracnose reaching an I of 23% and a DI of 12.25%. This study provides the first long-term, field-based evidence of airborne spore dynamics of Botryosphaeriaceae and Glomerellaceae in Chilean avocado orchards and their statistical relationship with environmental variables. These findings highlight the potential of incorporating climatic indicators—such as rainfall thresholds and humidity levels—into monitoring and early-warning systems to optimize fungicide application timing, reduce unnecessary chemical use, and improve postharvest disease management in avocado production. © 2025 by the authors.</t>
  </si>
  <si>
    <t>Agronomy</t>
  </si>
  <si>
    <t>A0035</t>
  </si>
  <si>
    <t>Role of the oxidative metabolism in induced resistance or susceptibility mechanism during the interaction of avocado with Phytophthora cinnamomi Rands.; [Papel do metabolismo oxidativo na resistência induzida ou mecanismo de suscetibilidade durante a interação do abacate com Phytophthora cinnamomi Rands.]</t>
  </si>
  <si>
    <t>Guarnizo N.; Rivera O.J.M.; Herrero V.F.; Florez J.E.M.; Jaramillo C.A.P.; Oliveros D.; Lorza E.A.R.</t>
  </si>
  <si>
    <t>10.1590/0100-5405/264502</t>
  </si>
  <si>
    <t>antioxidant; apoptosis; oxidative stress; Persea americana; Phytophthora root rot; plant defense</t>
  </si>
  <si>
    <t>The disease caused by the oomycete Phytophthora cinnamomi Rands affects most avocado (Persea americana) varieties, requiring additional tools for the selection of resistant materials. In the present study, induction of defense responses related to the oxidative metabolism in avocado was evaluated as a support for establishing its role in the defense responses during infection by this oomycete. Infection trials were carried out with the avocado clones ‘Duke 7’ (tolerant) and ‘Hass’ (susceptible), which had their stem base inoculated with the pathogen and whole leaves sampled at 0, 3, 24, 48 and 120 hours after infection (hai), for subsequent evaluation of the activities of the enzymes superoxide dismutase (SOD) and ascorbate peroxidase (APX), as well as for assessment of free radical scavenging capacity, total polyphenol content and caspase 3-like activity. The area under the disease progress curve was 1.3 and 14.8 (cm.day-1) for ‘Duke 7’ and ‘Hass’, respectively, and the former showed high resistance to the oomycete, which correlated with higher APX activity, higher free radical scavenger activity, and expression of caspase 3-like activity. Resistance or susceptibility in avocado during interaction with Phytophthora cinnamomi is suggested to be mediated by the participation of induced and innate antioxidants and by the induction of apoptosis responses in the resistant genotype ‘Duke 7’, whereas there is lack of such responses in ‘Hass’, the susceptible genotype. © 2025, Universidade Estadual Paulista (UNESP). All rights reserved.</t>
  </si>
  <si>
    <t>Summa Phytopathologica</t>
  </si>
  <si>
    <t>A0036</t>
  </si>
  <si>
    <t>Suppression of Stem-End Rot on Avocado Fruit Using Trichoderma spp. In the Central Highlands of Kenya</t>
  </si>
  <si>
    <t>Wanjiku E.K.; Waceke J.W.; Mbaka J.N.</t>
  </si>
  <si>
    <t>10.1155/2021/8867858</t>
  </si>
  <si>
    <t>Demand for organic avocado fruits, together with stringent food safety standards in the global market, has made producers to use alternative, safe, and consumer-friendly strategies of controlling the postharvest fungal disease of avocado fruits. This study assessed the in vitro efficacy of Trichoderma spp. (T. atroviride, T. virens, T. asperellum, and T. harzianum) against isolated avocado stem-end rot (SER) fungal pathogens (Lasiodiplodia theobromae, Neofusicoccum parvum, Nectria pseudotrichia, and Fusarium solani) using a dual culture technique. The Trichoderma spp. were also evaluated singly on postharvest "Hass"avocado fruits. Spore suspension at 5 × 104 conidial/ml of the Trichoderma spp. was applied on the avocado fruits at three time points, twenty-four hours before the fungal pathogen (preinoculation), at the same time as the fungal pathogen (concurrent inoculation), and 24 hours after the fungal pathogen (postinoculation). In the in vitro study, T. atroviride showed the highest mycelial growth inhibition against N. parvum (48%), N. pseudotrichia (55%), and F. solani (32.95%), while T. harzianum had the highest mycelial growth inhibition against L. theobromae. Trichoderma asperellum was the least effective in inhibiting the mycelial growth of all the pathogens. Similarly, T. virens showed the highest mycelial growth inhibition against N. pseudotrichia at 45% inhibition. On postharvest "Hass"fruits, T. atroviride showed the highest efficacy against N. parvum, N. pseudotrichia, and F. solani in all the applications. Trichoderma virens and T. harzianum were most effective against all the pathogens during postinoculation, while Lasiodiplodia theobromae was best controlled by T. virens, T. harzianum, and T. asperellum during postinoculation. Both T. atroviride and T. harzianum present a potential alternative to synthetic fungicides against postharvest diseases of avocado fruits, and further tests under field conditions to be done to validate their efficacy. The possibility of using Trichoderma spp. in the management of SER on avocado fruits at a commercial level should also be explored. © 2021 E. K. Wanjiku et al.</t>
  </si>
  <si>
    <t>Advances in Agriculture</t>
  </si>
  <si>
    <t>A0037</t>
  </si>
  <si>
    <t>The expression of the NPR1-dependent defense response pathway genes in Persea americana (Mill.) following infection with Phytophthora cinnamomi</t>
  </si>
  <si>
    <t>Backer R.; Naidoo S.; van den Berg N.</t>
  </si>
  <si>
    <t>10.1186/s12870-023-04541-z</t>
  </si>
  <si>
    <t>NPR1; Pathogenesis-related; Persea americana; Phytophthora cinnamomi; RNA-sequencing; Salicylic acid; Systemic acquired resistance</t>
  </si>
  <si>
    <t>A plant’s defense against pathogens involves an extensive set of phytohormone regulated defense signaling pathways. The salicylic acid (SA)-signaling pathway is one of the most well-studied in plant defense. The bulk of SA-related defense gene expression and the subsequent establishment of systemic acquired resistance (SAR) is dependent on the nonexpressor of pathogenesis-related genes 1 (NPR1). Therefore, understanding the NPR1 pathway and all its associations has the potential to provide valuable insights into defense against pathogens. The causal agent of Phytophthora root rot (PRR), Phytophthora cinnamomi, is of particular importance to the avocado (Persea americana) industry, which encounters considerable economic losses on account of this pathogen each year. Furthermore, P. cinnamomi is a hemibiotrophic pathogen, suggesting that the SA-signaling pathway plays an essential role in the initial defense response. Therefore, the NPR1 pathway which regulates downstream SA-induced gene expression would be instrumental in defense against P. cinnamomi. Thus, we identified 92 NPR1 pathway-associated orthologs from the P. americana West Indian pure accession genome and interrogated their expression following P. cinnamomi inoculation, using RNA-sequencing data. In total, 64 and 51 NPR1 pathway-associated genes were temporally regulated in the partially resistant (Dusa®) and susceptible (R0.12) P. americana rootstocks, respectively. Furthermore, 42 NPR1 pathway-associated genes were differentially regulated when comparing Dusa® to R0.12. Although this study suggests that SAR was established successfully in both rootstocks, the evidence presented indicated that Dusa® suppressed SA-signaling more effectively following the induction of SAR. Additionally, contrary to Dusa®, data from R0.12 suggested a substantial lack of SA- and NPR1-related defense gene expression during some of the earliest time-points following P. cinnamomi inoculation. This study represents the most comprehensive investigation of the SA-induced, NPR1-dependent pathway in P. americana to date. Lastly, this work provides novel insights into the likely mechanisms governing P. cinnamomi resistance in P. americana. © 2023, The Author(s).</t>
  </si>
  <si>
    <t>BMC Plant Biology</t>
  </si>
  <si>
    <t>A0038</t>
  </si>
  <si>
    <t>Unveiling the Predisposing Factors for the Development of Branch Canker and Dieback in Avocado: A Case of Study in Chilean Orchards</t>
  </si>
  <si>
    <t>Valencia A.L.; Saavedra-Torrico J.; Rosales I.M.; Mártiz J.; Retamales A.; Link A.; Gil P.M.</t>
  </si>
  <si>
    <t>10.3390/horticulturae8121121</t>
  </si>
  <si>
    <t>Botryosphaeriaceae; incidence; multivariate analysis; Persea americana; wood diseases</t>
  </si>
  <si>
    <t>Chilean avocado orchards have been affected by branch canker and dieback, mainly associated with pathogens species of the family Botryosphaeriaceae. Producers often relate water stress to these phenomena; however, predisposing factors for these diseases in Chilean orchards have not been reported. Therefore, the objective of this study was to identify the main climate, planting, and management variables associated with branch canker and dieback in Chilean avocado orchards. Multivariable statistical analyses (PCA and PLS-DA) were performed to analyze 76 variables possibly associated with the incidence of these diseases during two consecutive growing seasons. Our findings indicated that branch canker and dieback are mainly conditioned by orchard variables such as plant age, canopy volume, trunk diameter, leaf area index, and planting density. Variables associated with aged orchards, such as high age, high canopy volume, and high trunk diameter, appeared to be more associated with high incidence levels than were younger orchards with higher planting densities and high tree vigor levels. In addition, abiotic stresses, such as frost and overirrigation, were associated as secondary factors affecting these diseases’ development in avocado orchards. Moreover, this study allowed us to determine that branch canker and dieback can develop indistinctly in the different Chilean agroclimatic zones. © 2022 by the authors.</t>
  </si>
  <si>
    <t>A0039</t>
  </si>
  <si>
    <t>Anti-oomycete activity and plant growth promoting properties of avocado fungal endophytes</t>
  </si>
  <si>
    <t>Nieves-Campos, Emma I.; Méndez-Bravo, Alejandro; Pérez-Bautista, Yareli; Llanderal-Mendoza, Jesús; Guevara-Avendaño, Edgar; Solís-García, Itzel A.; Diyarza-Sandoval, Nayeli A.; Contreras-Ramos, Silvia M.; Rodriguez-Campos, Jacobo; Méndez-Bravo, Alfonso; Reverchon, Frédérique</t>
  </si>
  <si>
    <t>10.1016/j.rhisph.2024.100931</t>
  </si>
  <si>
    <t>Endophytic fungi; Indoles</t>
  </si>
  <si>
    <t>Fungal endophytes are known as promising plant growth-promoting microorganisms. Surprisingly, despite the economic importance of avocado, the antimicrobial and plant growth-promoting properties of its fungal endophytes have seldom been investigated. Our objectives were to evaluate the anti-oomycete activity of avocado fungal endophytes and assess their potential plant growth-promoting properties, using Arabidopsis thaliana as a model plant. In total, 89 fungal isolates were obtained from the roots of avocado trees and grouped into 24 morphotypes. One isolate per morphotype was randomly selected to assess its antagonistic activity against Phytophthora cinnamomi through dual culture assays. The strongest inhibition of P. cinnamomi was induced by endophytic fungi belonging to the Fusarium, Mortierella and Penicillium genera. The six most promising fungal isolates were selected to assess their plant growth-promoting traits in co-inoculation assays with A. thaliana. All tested fungal endophytes were able to modify the plant root architecture and increase the number of lateral roots. Moreover, an accumulation of auxins was detected in the xylem and meristematic zone of plants inoculated with Mortierella sp. PC-T3-3.1 and Metapochonia sp. PC-T2-4.2, whilst auxin accumulation was restricted to the emerging lateral roots of plants inoculated with Penicillium sp. C-T0-3.1. Indole quantification showed that Penicillium sp. C-T0-3.1 produced the highest concentration of indole acetic acid (IAA) and indole butyric acid (IBA), despite the lack of auxin responsiveness in plants in the co-inoculation assays. Mortierella sp. PC-T3-3.1 and Metapochonia sp. PC-T2-4.2 produced more IAA and IBA when co-inoculated with A. thaliana than when growing alone, which suggests that sensing of plant signals could induce the production of auxin-like compounds by these two endophytes. Collectively, our findings contribute to elucidate the mechanisms underpinning the plant growth-promoting activity of avocado fungal endophytes, which will be key to harness their full metabolic potential.</t>
  </si>
  <si>
    <t>Rhizosphere</t>
  </si>
  <si>
    <t>S2452219824000867.ris</t>
  </si>
  <si>
    <t>A0040</t>
  </si>
  <si>
    <t>Guevara-Avendaño, Edgar; Bejarano-Bolívar, Alix Adriana; Kiel-Martínez, Ana-Luisa; Ramírez-Vázquez, Mónica; Méndez-Bravo, Alfonso; von Wobeser, Eneas Aguirre; Sánchez-Rangel, Diana; Guerrero-Analco, José A.; Eskalen, Akif; Reverchon, Frédérique</t>
  </si>
  <si>
    <t>Bacterial volatiles; spp.; Biological control; sp.; Rhizosphere</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</si>
  <si>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t>
  </si>
  <si>
    <t>S0944501318310164.ris</t>
  </si>
  <si>
    <t>A0041</t>
  </si>
  <si>
    <t>Bioprospecting of microbial agents and their metabolites as potential inhibitors of Phytophthora cinnamomi, the causal agent of avocado root rot</t>
  </si>
  <si>
    <t>Ayyandurai, M.; Theradimani, M.; Harish, S.; Manonmani, K.; Madhu, G.S.; Yesu Raja, I.; Balakumbahan, R.; Kavitha Pushpam, A.</t>
  </si>
  <si>
    <t>10.1016/j.pmpp.2024.102362</t>
  </si>
  <si>
    <t>Avocado; SEM; GC-MS</t>
  </si>
  <si>
    <t>Phytophthora Root Rot (PRR) is one of the economically important diseases infecting avocado causing substantial yield losses worldwide. In this study, the root rot pathogen infecting avocado has been characterized and potential bioagents targeting PRR have been identified through molecular approaches. Field surveys revealed varying degrees of disease severity (54 %–17.5 %) and incidence (50 %–10 %) in Western Ghats of Tamil Nadu, India. The pathogen was isolated and identified as Phytophthora spp. based on morphology which depicted typical coralloid-type growth patterns. Besides, phylogenetic analysis with the ITS, ras-related protein and COX genes showed closed similarity with P. cinnamomi. The isolates showed significant variation in pathogenicity, with PC(TKI)-10 exhibiting the highest severity (70 %) developing typical symptoms. In vitro efficacy assays through dual-plate and volatiles revealed potential inhibitory effects of Trichoderma harzianum T (MP)-7 (81.11 %) and Bacillus amyloliquefaciens B (TI)-3 (76.67 %) against P. cinnamomi, and Scanning Electron Microscopy (SEM) provided insights into the antagonistic mechanisms, revealing physical interactions and enzymatic lysis of the pathogen by T (MP)-7 and B (TI)-3. Furthermore, Gas Chromatography-Mass Spectrometry (GC-MS) analysis identified bioactive compounds in the crude extracts of these bioagents, elucidating their metabolic pathways and potential modes of action against P. cinnamomi. Our findings highlights the importance of P. cinnamomi in avocado and the mechanism of fungal and bacterial bioagents in the sustainable management of the disease.</t>
  </si>
  <si>
    <t>S0885576524001462.ris</t>
  </si>
  <si>
    <t>A0042</t>
  </si>
  <si>
    <t>Comparison of cross inoculation potential of South African avocado and mango isolates of Colletotrichum gloeosporioides</t>
  </si>
  <si>
    <t>Sanders, G.M.; Korsten, L.</t>
  </si>
  <si>
    <t>10.1078/0944-5013-00186</t>
  </si>
  <si>
    <t>avocado; mango; inoculation study</t>
  </si>
  <si>
    <t>Summary</t>
  </si>
  <si>
    <t>S0944501304701135.ris</t>
  </si>
  <si>
    <t>A0043</t>
  </si>
  <si>
    <t>Flooding and Phytophthora cinnamomi: Effects on photosynthesis and chlorophyll fluorescence in shoots of non-grafted Persea americana (Mill.) rootstocks differing in tolerance to Phytophthora root rot</t>
  </si>
  <si>
    <t>Reeksting, B.J.; Taylor, N.J.; van den Berg, N.</t>
  </si>
  <si>
    <t>10.1016/j.sajb.2014.08.004</t>
  </si>
  <si>
    <t>Avocado; Fluorescence; Gas exchange; Flooding</t>
  </si>
  <si>
    <t>Losses in the production of avocado (Persea americana (Mill.)) are incurred due to Phytophthora root rot (PRR), a disease of the feeder roots that results in tree-dieback and eventual tree death. Avocado is also a flood-sensitive species and flooding exacerbates the effects of PRR. The avocado industry relies on the use of rootstocks tolerant to PRR to minimise losses. The present study compared the gas exchange and chlorophyll fluorescence responses of avocado rootstock plants of ‘Dusa™’, the current South African industry standard, with ‘Duke 7’, and the selections R0.12 and R0.06 which show reduced and superior tolerance to PRR, respectively. A decline in stomatal conductance (gs) and net CO2 assimilation (PN) over the 30day evaluation period were early responses to flooding. ‘Dusa™’, the more tolerant rootstock plants, demonstrated a better recovery in PN and gs in response to inoculation; however, both rootstocks performed poorly under flooded conditions. A decline in PN in infected ‘Duke 7’ plants appeared to be associated with stomatal limitations due to reduced stomatal conductance. The decline in PN and gs was not apparent in infected ‘Dusa™’ plants. Non-stomatal limitations to PN in rootstock plants exposed to flooding were also evident as indicated by increases in the ratio of internal to atmospheric CO2 concentrations (Ci/Ca). Impaired photosynthetic capacity in flooded rootstock plants was reflected by reduced photosystem II efficiency and photochemical quenching. In comparison to ‘Dusa™’, R0.12 rootstock plants showed reduced PN and gs following inoculation with Phytophthora cinnamomi whereas the more tolerant R0.06 rootstock plants revealed sustained photosynthetic activity. Interestingly R0.06 was the only rootstock able to maintain PN and gs in non-inoculated, flooded plants.</t>
  </si>
  <si>
    <t>South African Journal of Botany</t>
  </si>
  <si>
    <t>S0254629914001604.ris</t>
  </si>
  <si>
    <t>A0044</t>
  </si>
  <si>
    <t>Madhu, G.S.; Rani, A.T.; Muralidhara, B.M.; Deepak, G. Nayan; Rajendiran, S.; Ayyandurai, M.; Venkataravanappa, V.</t>
  </si>
  <si>
    <t>Avocado; LAMP; species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</si>
  <si>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t>
  </si>
  <si>
    <t>S0885576525001742.ris</t>
  </si>
  <si>
    <t>A0045</t>
  </si>
  <si>
    <t>Shifts in the structure of rhizosphere bacterial communities of avocado after Fusarium dieback</t>
  </si>
  <si>
    <t>Bejarano-Bolívar, Alix A.; Lamelas, Araceli; Aguirre von Wobeser, Eneas; Sánchez-Rangel, Diana; Méndez-Bravo, Alfonso; Eskalen, Akif; Reverchon, Frédérique</t>
  </si>
  <si>
    <t>10.1016/j.rhisph.2021.100333</t>
  </si>
  <si>
    <t>Biological control; Microbial diversity; Rhizosphere core microbiome</t>
  </si>
  <si>
    <t>The rhizosphere microbiome is critical for plant growth and protection against plant pathogens. However, rhizosphere microbial communities are likely to be restructured upon plant infection by fungal pathogens. Our objective was to determine the shifts in rhizosphere bacterial communities of avocado trees (Persea americana Mill.) after Fusarium dieback (FD), a disease triggered by the symbiotic fungi of invasive ambrosia beetles (Euwallacea kuroshio and Euwallacea sp. nr. fornicatus), using 16S rDNA gene amplicon sequencing and a culture-dependent approach. Rhizosphere soil samples were collected from five asymptomatic and five FD-symptomatic avocado trees in a Californian orchard. Sequence analysis showed that diversity metrics of the rhizosphere bacterial communities associated with asymptomatic avocado trees were larger than those of communities from FD-symptomatic trees. Moreover, FD produced significant shifts in rhizobacterial community structure, which were mainly caused by rare OTUs. Bacterial taxa such as Armatimonadetes, Sporocytophaga or Cellvibrio were exclusively associated with the rhizosphere of asymptomatic trees and may act as an insurance mechanism against fungal invasions. Conversely, genera such as Myxococcus or Lysobacter, which have been described as effective biocontrol agents against Fusarium oxysporum, Colletotrichum gloeosporioides or Rhizoctonia spp., among other phytopathogens, were only found in the rhizosphere of FD-symptomatic trees. The culturable bacterial communities in the rhizosphere of both FD-symptomatic and asymptomatic trees were dominated by isolates from the Bacillus and Pseudomonas genera, indicating that potential biocontrol agents against FD may be isolated from healthy and diseased avocado trees. Altogether, our results showed that FD elicited shifts in the avocado rhizosphere microbiome, which could potentially affect soil microbial processes, and provide a basis for the selection of biocontrol agents that could be used for FD prevention.</t>
  </si>
  <si>
    <t>S245221982100029X.ris</t>
  </si>
  <si>
    <t>A0046</t>
  </si>
  <si>
    <t>Branch canker battles: understanding and managing the Botryosphaeriaceae in avocado</t>
  </si>
  <si>
    <t>Möller, Heike; Slippers, Bernard; van den Berg, Noëlani</t>
  </si>
  <si>
    <t>10.1007/s12600-024-01227-6</t>
  </si>
  <si>
    <t>Botryosphaeriaceae · Avocado</t>
  </si>
  <si>
    <t>Avocado holds an important position in global agriculture and economic development. However, this thriving industry faces significant challenges from fungal pathogens, particularly those in the Botryosphaeriaceae. These fungi have emerged as major pathogens across various hosts, causing branch cankers, dieback, and fruit rots in avocados. These diseases reduce fruit quality and lead to substantial yield losses, threatening the profitability and sustainability of avocado production. This review consolidates current knowledge on Botryosphaeriaceae species affecting avocados, with a focus on their diversity, disease dynamics, detection methods, management strategies, and recent omics advances related to species reported in avocados. Given the escalating global production and economic importance of avocados, understanding, and effectively managing Botryosphaeriaceae infections is crucial. The review aims to identify research gaps and propose future research avenues to enhance disease management practices in avocado cultivation.</t>
  </si>
  <si>
    <t>Phytoparasitica</t>
  </si>
  <si>
    <t>10.1007_s12600-024-01227-6-citation.ris</t>
  </si>
  <si>
    <t>A0047</t>
  </si>
  <si>
    <t>Çalış, Özer; Çelik, Sefanur; Fidan, Hakan; Tek, Mumin Ibrahim; Shah, Mehraj; Tozlu, Ilhami; Wani, Shabir Hussain</t>
  </si>
  <si>
    <t>Anthracnose · Avocado · Fungal diseases · Soil-borne pathogens · Dieback · Branch canker</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</si>
  <si>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t>
  </si>
  <si>
    <t>10.1007_s41348-024-00954-6-citation.ris</t>
  </si>
  <si>
    <t>A0048</t>
  </si>
  <si>
    <t>Rodríguez-Gálvez, Edgar; Haro-Diaz, Cesar; Maza-Aguirre, Samir; Canahuire-Castillo, Fátima; Sullón-Saucedo, Julio; Deising, Holger B.</t>
  </si>
  <si>
    <t>Avocado · External and internal necrosis · Lasiodiplodia theobromae · Persea americana · Symptom</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</si>
  <si>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t>
  </si>
  <si>
    <t>10.1007_s40858-025-00700-9-citation.ris</t>
  </si>
  <si>
    <t>T0001</t>
  </si>
  <si>
    <t>Assessment of avocado water stress using multispectral imaging and deep learning: Toward scalable, cost-effective irrigation monitoring</t>
  </si>
  <si>
    <t>Estrada J.S.; Cetin N.; Sacilik K.; Ulu B.; Ulu B.; Auat Cheein F.</t>
  </si>
  <si>
    <t>2026</t>
  </si>
  <si>
    <t>10.1016/j.eswa.2026.132688</t>
  </si>
  <si>
    <t>Deep learning; Dehydration stage; Hyperspectral reflectance values; Machine learning; Multi-spectral images; Bayesian networks; Convolutional neural networks; Cost effectiveness; Decision trees; Dehydration; Discriminant analysis; Forestry; Fruits; Hyperspectral imaging; Irrigation; Learning systems; Logistic regression; Multilayer neural networks; Nearest neighbor search; Random forests; Support vector regression; Deep learning; Dehydration stage; Hyperspectral reflectance; Hyperspectral reflectance value; Leaf water content; Linear discriminant analyze; Machine learning models; Machine-learning; Multispectral images; Reflectance values; Deep learning</t>
  </si>
  <si>
    <t>The identification of leaf water content in avocados can help to improve the irrigation regimes, thus alleviating the great water consumption of the avocado production. The classification of leaves according to their dehydration stage can be used as an early assessment tool for leaf water content identification. This study focuses on classifying avocado leaves based on their dehydration stage, using two approaches: hyperspectral reflectance values with classic machine learning models, and multi-spectral images with deep convolutional neural networks. The classic machine learning algorithms trained include random forest, k-nearest neighbours, support vector machine, bagging, decision tree, reduced error pruning tree, simple classification and regression tree, Bayesian networks, logistic model tree, linear discriminant analysis, multinomial logistic regression, and multilayer perceptron. The deep learning approach employed convolutinal neural network, specifically ConvNeXt-Tiny, MobileNetV3-Large, and ResNet18. The models were evaluated using common metrics such as accuracy, precision, f1 score, receiving operating characteristic curves, area under curve and confusion matrices. Among the machine learning models, linear discriminant analysis achieved the highest accuracy of 0.98. Meanwhile, ResNet18 outperformed the other CNNs, achieving an accuracy of 0.99 on the validation dataset. These results highlight the effectiveness of the proposed methods for classifying avocado leaves based on their dehydration level. © 2026 The Authors. Published by Elsevier Ltd. This is an open access article under the CC BY-NC license. http://creativecommons.org/licenses/by-nc/4.0/</t>
  </si>
  <si>
    <t>Expert Systems with Applications</t>
  </si>
  <si>
    <t>export_47b321cb-1eb2-4971-9a96-aeef542f0ff6_2026-09-25T151053.275989337.csv | scopus (4).csv</t>
  </si>
  <si>
    <t>Tecnológico</t>
  </si>
  <si>
    <t>T0002</t>
  </si>
  <si>
    <t>ApaltAI: a web-based diagnostic system with a sequential voting architecture for detecting anthracnose and scab in avocado fruit</t>
  </si>
  <si>
    <t>Moreano M.; Sosa A.; Mauricio D.; Rivera L.; Santisteban J.</t>
  </si>
  <si>
    <t>10.3389/fpls.2026.1736123</t>
  </si>
  <si>
    <t>avocado; convolutional neural networks; deep learning; disease detection; image processing</t>
  </si>
  <si>
    <t>Avocado (Persea americana Mill.), with a global production estimated at 10.4 million tons in 2023, suffers annual losses of 20-30% due to diseases such as anthracnose (Colletotrichum gloeosporioides) and scab (Sphaceloma perseae), resulting in substantial economic impacts for major producing countries (Mexico, Peru, and Colombia). This study introduces an advanced system that integrates a binary sequential voting architecture (VotingBS) with a fully functional web application, for the automated identification of two high-incidence diseases: anthracnose and scab, both of which critically affect fruit quality and yield. The proposed VotingBS architecture implements a hierarchical two-stage classification strategy. In the first stage, a five-model deep learning ensemble differentiates between healthy and diseased fruits. In the second stage, another ensemble determines which of the two diseases is present. For this purpose, a collection of 674 labeled fruit images was used for training and validation. Experimental results demonstrate outstanding model performance, achieving key metrics such as 98.92% precision, 98.89% recall, and 99.03% accuracy, significantly outperforming traditional approaches. Moreover, the solution was deployed through a web app featuring dedicated modules for crop management, phytosanitary analysis, and disease diagnosis. This architecture enhances the system’s practical utility and facilitates its adoption by farmers, field technicians, and agricultural monitoring agencies. Overall, this work demonstrates how combining hybrid deep learning models with accessible digital platforms can revolutionize plant disease diagnostics, fostering a more efficient, automated, and resilient precision agriculture. Copyright © 2026 Moreano, Sosa, Mauricio, Rivera and Santisteban.</t>
  </si>
  <si>
    <t>Frontiers in Plant Science</t>
  </si>
  <si>
    <t>export_47b321cb-1eb2-4971-9a96-aeef542f0ff6_2026-09-25T151053.275989337.csv</t>
  </si>
  <si>
    <t>T0003</t>
  </si>
  <si>
    <t>Shelf-Life Management and Ripening Assessment of ‘Hass’ Avocado (Persea americana) Using Deep Learning Approaches</t>
  </si>
  <si>
    <t>Xavier P.; Rodrigues P.M.; Silva C.L.M.</t>
  </si>
  <si>
    <t>2024</t>
  </si>
  <si>
    <t>10.3390/foods13081150</t>
  </si>
  <si>
    <t>convolutional neural network; fruit ripening; post-harvest handling; shelf-life tracking; supply chain management</t>
  </si>
  <si>
    <t>Avocado production is mostly confined to tropical and subtropical regions, leading to lengthy distribution channels that, coupled with their unpredictable post-harvest behavior, render avocados susceptible to significant loss and waste. To enhance the monitoring of ‘Hass’ avocado ripening, a data-driven tool was developed using a deep learning approach. This study involved monitoring 478 avocados stored in three distinct storage environments, using a 5-stage Ripening Index to classify each fruit’s ripening phase based on their shared characteristics. These categories were paired with daily photographic records of the avocados, resulting in a database of labeled images. Two convolutional neural network models, AlexNet and ResNet-18, were trained using transfer learning techniques to identify distinct ripening indicators, enabling the prediction of ripening stages and shelf-life estimations for new unseen data. The approach achieved a final prediction accuracy of 88.8% for the ripening assessment, with 96.7% of predictions deviating by no more than half a stage from their actual classifications when considering the best side of the samples. The average shelf-life estimates based on the attributed classifications were within 0.92 days of the actual shelf-life, whereas the predictions made by the models had an average deviation of 0.96 days from the actual shelf-life. © 2024 by the authors.</t>
  </si>
  <si>
    <t>Foods</t>
  </si>
  <si>
    <t>scopus (1).csv</t>
  </si>
  <si>
    <t>T0004</t>
  </si>
  <si>
    <t>A Systematic Review on the Detection and Classification of Plant Diseases Using Machine Learning</t>
  </si>
  <si>
    <t>Munjal D.; Singh L.; Pandey M.; Lakra S.</t>
  </si>
  <si>
    <t>2023</t>
  </si>
  <si>
    <t>10.4018/ijsi.315657</t>
  </si>
  <si>
    <t>Agriculture; classification; Deep learning; Image Processing; Machine learning; segmented image</t>
  </si>
  <si>
    <t>The occurrence of disease in plants might affect the crop production at a large scale, resulting into decline of the economic growth rate of the country. The disease in plants can be detected and treated at an early stage. Machine learning (ML), deep learning (DL), and computer vision-based techniques could play a pivotal role in detecting and classifying the diseases at an early stage. These approaches have even surpassed the human performance, as well as image processing based traditional approaches in the analysis and classification of plant diseases. Over the years, numerous authors have applied various image processing ML and DL techniques for the diagnosis of different ailments in plants that gives great hope to the farmers and landlords to cure the disease at an early stage. In this study, the authors addressed and evaluated the various currently existing state of art methods and techniques based on machine and deep learning. Besides, the authors have also focused on various limitations and challenges of these approaches that can explore greater possibly of these methods about their usability for disease detection in plants. © 2023 Taru Publications. All rights reserved.</t>
  </si>
  <si>
    <t>International Journal of Software Innovation</t>
  </si>
  <si>
    <t>scopus (10).csv</t>
  </si>
  <si>
    <t>T0005</t>
  </si>
  <si>
    <t>Utilization of Multi-Channel Hybrid Deep Neural Networks for Avocado Ripeness Classification</t>
  </si>
  <si>
    <t>Nuanmeesri S.</t>
  </si>
  <si>
    <t>10.48084/etasr.7651</t>
  </si>
  <si>
    <t>avocado ripeness classification; convolutional neural networks; EfficientNetB0; hybrid deep neural networks; visual geometry group</t>
  </si>
  <si>
    <t>Ripeness classification is crucial in ensuring the quality and marketability of avocados. This paper aims to develop the Multi-Channel Hybrid Deep Neural Networks (MCHDNN) model between Visual Geometry Group 16 (VGG16) and EfficientNetB0 architectures, tailored explicitly for avocado ripeness classification in five classes: firm, breaking, ripe, overripe, and rotten. Each feature extracted is concatenated in an early fusion-based to classify the ripeness. The image dataset used for each avocado fruit was captured from six sides: front, back, left, right, bottom, and pedicel to provide a multi-channel input image in of a Convolution Neural Network (CNN). The results showed that the developed fine-tuned MCHDNN had an accuracy of 94.10% in training, 90.13% in validation, and 90.18% in testing. In addition, when considering individual class classification in the confusion matrix of the training set, it was found that the 'ripe' class had the highest accuracy of 94.58%, followed by the 'firm' and 'rotten' classes with 94.50% and 93.75% accuracy, respectively. Moreover, compared with the single-channel model, the fine-tuned MCHDNN model performs 7.70% more accurately than the fine-tuned VGG16 model and 7.77% more accurately than the fine-tuned EfficientNetB0 model. © 2024, Dr D. Pylarinos. All rights reserved.</t>
  </si>
  <si>
    <t>Engineering, Technology and Applied Science Research</t>
  </si>
  <si>
    <t>scopus (2).csv</t>
  </si>
  <si>
    <t>T0006</t>
  </si>
  <si>
    <t>Comparing global and variety-specific ensemble models for avocado maturity prediction with near-infrared</t>
  </si>
  <si>
    <t>Ovalle C.; Jimenez J.G.; Zuñiga J.B.</t>
  </si>
  <si>
    <t>10.11591/ijai.v15.i3.pp2300-2313</t>
  </si>
  <si>
    <t>Avocado ripeness; Ensemble stacking; Machine learning; Near-infrared spectroscopy; Non-destructive quality control; Precision agriculture; Variety-specific models</t>
  </si>
  <si>
    <t>Ensuring accurate, non-destructive maturity classification of avocados is critical to supply chain optimization in agro-industrial systems. This study presents a predictive framework that integrates near-infrared (NIR) spectroscopy with ensemble stacking machine learning (ML) to enhance the precision of avocado ripeness assessment. The proposed methodology compares global versus variety-specific models for 'Hass' and 'Fuerte' avocado types, leveraging spectral data (900–1,700 nm) and multiple base classifiers, including random forest (RF), gradient boosting (GB), support vector machines (SVMs), decision trees (DT), k-nearest neighbors (KNN), and categorical boosting (CatBoost), combined via linear regression as a meta-learner. Experimental results revealed that the stacking models outperformed individual learners, with variety-specific GB model achieving the highest performance (Matthews correlation coefficient (MCC) =0.679, area under the curve (AUC) =0.931). These findings highlight the critical importance of varietal specificity in model calibration and demonstrate how ensemble strategies can improve robustness, scalability, and interpretability in intelligent agricultural systems. The proposed model provides a computationally efficient solution for real-time quality control and supports the deployment of AI-powered systems within agricultural supply chains in developing regions. This is an open access article under the CC BY-SA license. https://creativecommons.org/licenses/by-sa/4.0/</t>
  </si>
  <si>
    <t>IAES International Journal of Artificial Intelligence</t>
  </si>
  <si>
    <t>scopus (3).csv</t>
  </si>
  <si>
    <t>T0007</t>
  </si>
  <si>
    <t>Hybrid loss for robust ripeness classification under noisy labels</t>
  </si>
  <si>
    <t>Ahmed M.; Babaei M.; Jeong N.; Kong L.; Gan Y.</t>
  </si>
  <si>
    <t>10.1016/j.fufo.2026.101116</t>
  </si>
  <si>
    <t>Agricultural machine learning; Food quality assessment; Fruit ripeness classification; Hybrid loss function; Label noise; Noise-robust learning</t>
  </si>
  <si>
    <t>The reliability of supervised machine learning in agricultural classification is often undermined by noisy labels, which arise from subjective human annotations and environmental variability. This study introduces a noise-robust framework that integrates dual-network architectures to create a novel Hybrid Loss function. The Hybrid Loss integrates cross-entropy with consistency regularization to tackle the problem of noisy labels. The Modified Hybrid Loss further enhances robustness for small-scale datasets by updating dual networks independently. We validated these approaches on an avocado microwave image dataset and photographic avocado dataset. Across noise rates of 10%, 20%, and 50%, the proposed methods consistently outperformed baseline loss functions, including Cross-Entropy, Co-Teaching, and JoCoR. ANOVA statistical analysis confirmed significant improvements (p ' 0.00001) in classification accuracy. Beyond benchmark validation, we demonstrated practical application by tracking avocado ripening profiles over time with microwave imaging. These results establish Hybrid and Modified Hybrid Loss as effective strategies for mitigating label noise in agricultural machine learning, advancing the development of reliable, scalable, and non-destructive fruit ripeness assessment systems in Agricultural artificial intelligence (AI). © 2026 The Authors.</t>
  </si>
  <si>
    <t>Future Foods</t>
  </si>
  <si>
    <t>scopus (5).csv</t>
  </si>
  <si>
    <t>T0008</t>
  </si>
  <si>
    <t>Spatial Mapping of Avocado Anthracnose Severity Using UAV-Derived Vegetation Indices in Amazonas, Peru</t>
  </si>
  <si>
    <t>Guelac-Santillan M.; Puscan-Rojas J.; Sánchez-Vega J.A.; Huaman-Pilco A.F.; Medina-Medina A.J.; Tuesta-Trauco K.M.; Canta-Ventura J.M.; Barboza E.; Zabaleta-Santisteban J.A.</t>
  </si>
  <si>
    <t>10.3390/agriengineering8080340</t>
  </si>
  <si>
    <t>Colletotrichum fructicola; multicriteria evaluation; severity; UAV</t>
  </si>
  <si>
    <t>Unmanned aerial vehicle (UAV)-based multispectral remote sensing has emerged as a promising tool for monitoring crop physiological status and supporting precision disease management. However, the capacity of multispectral vegetation indices to detect foliar diseases under commercial field conditions remains insufficiently understood, particularly in perennial crops grown in humid tropical environments. This study evaluated the potential of UAV-derived multispectral vegetation indices to assess the physiological response of avocado (Persea americana Mill.) canopies affected by anthracnose caused by Colletotrichum fructicola in Amazonas, Peru. Disease incidence and severity were assessed through field evaluations, while multispectral imagery was acquired using a UAV equipped with a MicaSense RedEdge-MX Dual sensor. Vegetation indices including the Normalized Difference Vegetation Index (NDVI), Green Normalized Difference Vegetation Index (GNDVI), Soil-Adjusted Vegetation Index (SAVI), Normalized Difference Red Edge Index (NDRE), Red Edge Chlorophyll Index (CIred-edge), Plant Senescence Reflectance Index (PSRI), and Visible Atmospherically Resistant Index (VARI) were calculated, and their relationships with anthracnose incidence were analyzed using Spearman’s rank correlation. Field observations confirmed a high incidence of foliar anthracnose with a heterogeneous spatial distribution across the orchard. Multispectral imagery successfully characterized spatial variability in the canopy physiological condition, revealing differences in vegetation vigor, chlorophyll-related reflectance, and senescence among experimental blocks. Nevertheless, none of the evaluated vegetation indices showed statistically significant correlations with anthracnose incidence (p &gt; 0.05), indicating that spectral variability primarily reflected the general canopy physiological status rather than a disease-specific spectral response. These findings demonstrate that UAV-derived multispectral vegetation indices are valuable for monitoring spatial variability in the avocado canopy condition but have limited capability for independently detecting anthracnose under humid tropical field conditions. Future studies integrating multi-temporal UAV acquisitions, hyperspectral and thermal imagery, LiDAR, environmental variables, and machine-learning approaches are expected to improve the early detection and spatial prediction of anthracnose in avocado production systems. © 2026 by the authors.</t>
  </si>
  <si>
    <t>AgriEngineering</t>
  </si>
  <si>
    <t>scopus (6).csv</t>
  </si>
  <si>
    <t>T0009</t>
  </si>
  <si>
    <t>Plants disease detection and identification system using AI and computer vision techniques</t>
  </si>
  <si>
    <t>Iqbal A.; Ahmed I.; Rehman S.; Alzahrani A.S.</t>
  </si>
  <si>
    <t>10.7717/peerj-cs.3509</t>
  </si>
  <si>
    <t>AI; DETR; Plant disease; Transformer; VGG16; YOLO; Agricultural machinery; Computer vision; Deep learning; Deterioration; Diseases; Grain (agricultural product); Learning systems; Neural networks; Plant diseases; Plants (botany); Random forests; Transfer learning; Computer vision techniques; Convolutional neural network; Detection and identifications; DETR; Disease detection; Learning models; Plant disease; Transformer; VGG16; You only look once; Crops</t>
  </si>
  <si>
    <t>Thespread of plant diseases is influenced by a variety of environmental and pathogen factors that not only lower the production of fruits and grains but also cause quality deterioration. The timely detection and evaluation of diseases in food plants are crucial for the health of the agricultural industry and the country’s capacity to produce enough food. This research focused on prevalent illnesses in wheat and pea plants to explore the creation of an autonomous disease detection system designed for the unique traits of the examined crops, which can be adapted to the particularities of other crops. The experiments with artificial intelligence (AI) models included both traditional machine learning and sophisticated deep learning models, including customized models and transfer learning models. In this study, our framework employed the capabilities of Transformers, Random Forest, VGG16, a custom convolutional neural network (CNN) model, and two versions of You Only Look Once (YOLO), including both v5 and v8. The employability of classical machine learning techniques aims to gauge the computational feasibility of advanced techniques such as transformers and YOLO. This work also focused on the development of a standard dataset, which was developed by collecting healthy and diseased samples from various crop fields in Pakistan. The obtained results demonstrate the improved performance of the fine-tuned VGG16 model, transformers, and the customized version of CNN as compared to the Random Forest model and YOLOv8 algorithms, in terms of disease detection and classification accuracy. Moreover, the usability of YOLO versions and detection transformers for real-time disease identification has shown promising results, which is evident in its prospects for plant disease monitoring systems. Copyright 2026 Iqbal et al. Distributed under Creative Commons CC-BY 4.0. http://www.creativecommons.org/licenses/by/4.0/</t>
  </si>
  <si>
    <t>PeerJ Computer Science</t>
  </si>
  <si>
    <t>Importado (autores corregidos según el PDF: Scopus registra a Ahmed I. como primer autor y lo duplica)</t>
  </si>
  <si>
    <t>scopus (7).csv</t>
  </si>
  <si>
    <t>T0010</t>
  </si>
  <si>
    <t>Deep Learning Based Mobile Application for Automated Plant Disease Detection</t>
  </si>
  <si>
    <t>Ramana Reddy B.; Kalnoor G.; Devashish M.; Sai Karthik Reddy P.</t>
  </si>
  <si>
    <t>2025</t>
  </si>
  <si>
    <t>10.1109/access.2025.3581099</t>
  </si>
  <si>
    <t>agriculture; convolutional neural networks (CNN); deep learning; disease severity estimation; image processing; mobile application; Plant disease detection; Convolution; Convolutional neural networks; Crops; Deep neural networks; Diagnosis; Error detection; Image enhancement; Mobile applications; Plant diseases; Plants (botany); Convolutional neural network; Deep learning; Disease detection; Disease severity; Disease severity estimation; Images processing; Mobile applications; Plant disease; Plant disease detection; Mobile computing</t>
  </si>
  <si>
    <t>Plant diseases remain a significant threat to global agriculture, necessitating rapid and accurate detection to minimize crop loss. This paper presents a lightweight, end-to-end system for plant leaf disease detection and severity estimation, optimized for real-time field deployment. We propose a custom Convolutional Neural Network (CNN), built using PyTorch, trained on the PlantVillage dataset to classify leaves as healthy or diseased with a test accuracy of 92.06%. To enhance its practical relevance, we incorporate a classical image processing pipeline using OpenCV and NumPy to estimate the severity of infection by computing the ratio of diseased to total leaf area. These capabilities are integrated into a cross-platform mobile application developed using React Native, with inference served via a Flask-based backend API. The mobile app enables users to capture or upload images and instantly receive diagnostic results, and severity percentages. Our system bridges the gap between deep learning research and real-world agricultural application by combining accurate classification, interpretable severity estimation, and mobile accessibility. This approach offers farmers a powerful, on-device digital assistant to monitor crop health and make informed intervention decisions. Experimental results demonstrate strong generalization performance, visual alignment of model attention with infected regions, and real-time usability in field conditions.  © 2013 IEEE.</t>
  </si>
  <si>
    <t>IEEE Access</t>
  </si>
  <si>
    <t>scopus (8).csv</t>
  </si>
  <si>
    <t>T0011</t>
  </si>
  <si>
    <t>Smartphone-Based Citizen Science Tool for Plant Disease and Insect Pest Detection Using Artificial Intelligence</t>
  </si>
  <si>
    <t>Christakakis P.; Papadopoulou G.; Mikos G.; Kalogiannidis N.; Ioannidis D.; Tzovaras D.; Pechlivani E.M.</t>
  </si>
  <si>
    <t>10.3390/technologies12070101</t>
  </si>
  <si>
    <t>citizen science; decision support system; deep learning; mobile applications; pests; Tuta absoluta</t>
  </si>
  <si>
    <t>In recent years, the integration of smartphone technology with novel sensing technologies, Artificial Intelligence (AI), and Deep Learning (DL) algorithms has revolutionized crop pest and disease surveillance. Efficient and accurate diagnosis is crucial to mitigate substantial economic losses in agriculture caused by diseases and pests. An innovative Apple® and Android™ mobile application for citizen science has been developed, to enable real-time detection and identification of plant leaf diseases and pests, minimizing their impact on horticulture, viticulture, and olive cultivation. Leveraging DL algorithms, this application facilitates efficient data collection on crop pests and diseases, supporting crop yield protection and cost reduction in alignment with the Green Deal goal for 2030 by reducing pesticide use. The proposed citizen science tool involves all Farm to Fork stakeholders and farm citizens in minimizing damage to plant health by insect and fungal diseases. It utilizes comprehensive datasets, including images of various diseases and insects, within a robust Decision Support System (DSS) where DL models operate. The DSS connects directly with users, allowing them to upload crop pest data via the mobile application, providing data-driven support and information. The application stands out for its scalability and interoperability, enabling the continuous integration of new data to enhance its capabilities. It supports AI-based imaging analysis of quarantine pests, invasive alien species, and emerging and native pests, thereby aiding post-border surveillance programs. The mobile application, developed using a Python-based REST API, PostgreSQL, and Keycloak, has been field-tested, demonstrating its effectiveness in real-world agriculture scenarios, such as detecting Tuta absoluta (Meyrick) infestation in tomato cultivations. The outcomes of this study in T. absoluta detection serve as a showcase scenario for the proposed citizen science tool’s applicability and usability, demonstrating a 70.2% accuracy (mAP50) utilizing advanced DL models. Notably, during field testing, the model achieved detection confidence levels of up to 87%, enhancing pest management practices. © 2024 by the authors.</t>
  </si>
  <si>
    <t>Technologies</t>
  </si>
  <si>
    <t>scopus (9).csv</t>
  </si>
  <si>
    <t>T0012</t>
  </si>
  <si>
    <t>Automated and Enhanced Classification of Persea Americana Using Optimized Deep Convolutional Neural Networks With Improved Training Strategies for Agro-Industrial Settings</t>
  </si>
  <si>
    <t>Vera O.; Cruz J.; Huaquipaco S.; Mamani W.; Yana-Mamani V.; Huaquipaco S.</t>
  </si>
  <si>
    <t>10.1109/access.2024.3496728</t>
  </si>
  <si>
    <t>Classification Persea Americana; convolutional neuronal network; DenseNet; EfficientNet; ResNet; Agribusiness; Convolutional neural networks; Classification perseum americanum; Convolutional neural network; Convolutional neuronal network; Densenet; Efficientnet; Neuronal networks; Persea americana; Skill Score; Threat scores; Training strategy; Agri-food</t>
  </si>
  <si>
    <t>The agro-industrial sector faces significant challenges in product classification, which directly affect product quality, production efficiency and food safety. This paper proposes a machine learning model that correctly identifies the different attributes of Persea americana. For this, an automatic agro-industrial plant was implemented following industrial standards where advanced image processing techniques were used on a dataset of 346 images for training and 146 images for testing, with three deep convolutional neural networks with improved training strategies and advanced validation techniques including True Skill Statistic (TSS), Cohen's Kappa (K), Threat Score (TS), Heidke Skill Score (HSS) and Probability of Error (Pe). The results showed that the DenseNet model outperforms other state-of-the-art models in accuracy, reaching an F1 score of 99.27%, ResNet 50 reached 99.26% and EfficientNet B4 reached 99.19%, also in the validation phase TSS, K, TS and HSS for all models were higher than 0.98 while the Pe index was higher than 0.55. It is concluded that the DenseNet model is shown to be the effective and reliable technique for the classification of Persea Americana. These promising results open new possibilities for the implementation of machine learning in the agri-food industry. For future research, the possibility of expanding the data set and extending the application of this model to other varieties of fruits is proposed.  © 2013 IEEE.</t>
  </si>
  <si>
    <t>scopus.csv</t>
  </si>
  <si>
    <t>T0013</t>
  </si>
  <si>
    <t>A three-tier deep learning framework with mobile application integration for multi-crop disease diagnosis</t>
  </si>
  <si>
    <t>Kochhar, Aarti; Narang, Gagan; Patel, Shashikant; Kaur, Harleen; Singla, Chetan; Pateriya, Brijendra; Galdelli, Alessandro</t>
  </si>
  <si>
    <t>10.1007/s44163-026-01062-0</t>
  </si>
  <si>
    <t>Crop diseases remain a critical threat to global food security, contributing to substantial yield losses and reduced farmer incomes. Timely and accurate identification of these diseases is essential to mitigate their impact. Traditional diagnostic methods, dependent on expert visual inspection, are labour-intensive, time-consuming, and prone to judgment errors. Accurate and timely detection of crop diseases supports sustainable agricultural management and contributes to achieving global objectives under the United Nations Sustainable Development Goal 2 on Zero Hunger. This study proposes a three step framework that relies on pattern recognition and classification of visual disease symptoms to deliver reliable, field-applicable diagnostics. The approach combines image acquisition through smartphone camera with a structured processing pipeline that includes feature extraction, classification, and result delivery via a mobile application built on a three-tier architecture. Convolutional Neural Networks and an optimized VGG-16 model form the core classification engine, trained to recognize 19 leaf based diseases across wheat, rice, fodder, maize, and sugarcane. The models were trained and evaluated on a dataset comprising both field-collected and publicly available images using repeated stratified k-fold cross-validation. The framework achieves accuracies of 84.61% for wheat, 44.15% for rice, 85.71% for fodder, 95.23% for maize, and 64.28% for sugarcane (testing accuracy of the best-performing model per crop, where VGG-16 demonstrated superior generalization). The framework is able to support farmers, by integrating a technically robust backend with a simple and oriented interface, with diagnosis of multiple crops from a single platform, offering a scalable solution for precision agriculture and sustainable crop protection.</t>
  </si>
  <si>
    <t>Discover Artificial Intelligence</t>
  </si>
  <si>
    <t>10.1007_s44163-026-01062-0-citation.ris</t>
  </si>
  <si>
    <t>T0014</t>
  </si>
  <si>
    <t>Deep learning methods for enhanced stress and pest management in market garden crops: A comprehensive analysis</t>
  </si>
  <si>
    <t>Odounfa, Mireille Gloria Founmilayo; Gbemavo, Charlemagne D.S.J.; Tahi, Souand Peace Gloria; Glèlè Kakaï, Romain L.</t>
  </si>
  <si>
    <t>10.1016/j.atech.2024.100521</t>
  </si>
  <si>
    <t>Artificial intelligence; Vegetable crops disease detections; Pests; Severity estimation; Review</t>
  </si>
  <si>
    <t>Various deep learning methods are employed to detect stress and diseases in market garden crops, as well as to assess their severity. This study aims to comprehensively analyze these techniques and identify potential research avenues. The diversity of deep learning techniques was explored through a literature review based on the PRISMA guidelines. Research equations were defined, resulting in a sample of 1,422 publications, of which 72 were deemed usable and considered in the final analysis. For classification tasks, hybrid CNN models were the most widely used (19.2%). Commonly utilized models included VGG16 (10%), InceptionV3 (6.1%), DCNN (5%), and YoloV5 (5%). In object detection tasks, Fast R-CNN was used six times, followed by YoloV5 (three occurrences) and YoloV3 (two occurrences). In segmentation tasks, Mask R-CNN accounted for 28.67% of the models, while DeepLabV3+ accounted for 24.98%. Assessing disease severity in market garden crops is complex due to the unique criteria for each plant disease and the presence of multiple diseases across different crop types. To address this complexity, establishing a standardized method is crucial. Further research is essential to enhance the application of deep learning techniques in the study of market garden crops. This includes gathering extensive datasets that encompass various scenarios of crop diseases and considering the impact of climate variations on stress manifestation.</t>
  </si>
  <si>
    <t>Smart Agricultural Technology</t>
  </si>
  <si>
    <t>ScienceDirect_citations_1790890165413.ris (C16)</t>
  </si>
  <si>
    <t>T0015</t>
  </si>
  <si>
    <t>A review of cattle behavior recognition methods based on computer vision and deep learning</t>
  </si>
  <si>
    <t>Yuan, Lei; Li, Weiran; Yue, Jun; Li, Zhenbo; Zhao, Yixun; Li, Qiaoyu; Feng, Wenjie; Kou, Guangjie</t>
  </si>
  <si>
    <t>10.1016/j.atech.2026.101867</t>
  </si>
  <si>
    <t>Cattle behavior recognition; Computer vision; Deep learning; Precision livestock farming; Smart ranch</t>
  </si>
  <si>
    <t>Cattle behavior recognition is vital for precision livestock farming, supporting welfare assessment, health monitoring, and intelligent management. With advances in computer vision and deep learning, automated behavior analysis has evolved rapidly. This review comprehensively summarizes recent progress in cattle behavior recognition, focusing on datasets, model architectures, algorithmic strategies, and practical challenges. Methods based on convolutional networks, temporal and spatiotemporal modeling, and Transformer architectures are analyzed, highlighting their contributions to recognition accuracy and robustness. To address current limitations regarding weak generalization across complex environments and deployment constraints, future research must prioritize multimodal data fusion, lightweight edge models, and interpreted learning frameworks to facilitate the transition from experimental models to practical on-farm applications.</t>
  </si>
  <si>
    <t>T0016</t>
  </si>
  <si>
    <t>Knowledge distillation for smart agriculture: methods, applications, and future directions</t>
  </si>
  <si>
    <t>Lin, Xinyu; Chen, Shan; Yan, Nina; Pi, Jie; Zhu, Tingting; Xu, Lei</t>
  </si>
  <si>
    <t>10.1016/j.atech.2026.102019</t>
  </si>
  <si>
    <t>Knowledge distillation; Model compression; Deep learning; Smart agriculture</t>
  </si>
  <si>
    <t>Knowledge Distillation (KD) has emerged as a powerful paradigm for optimizing deep learning models in agriculture, enabling the transfer of knowledge from complex teacher networks to lightweight student models. Following PRISMA guidelines, this review surveys 92 studies across key domains, including plant disease recognition, crop and weed detection, pest recognition, and animal monitoring. To address the lack of standardized benchmarking across heterogeneous agricultural tasks, we adopt the Performance Retention Ratio (PRR) as a novel metric for quantifying distillation efficiency. We evaluate the efficacy of response-based, feature-based, and relation-based KD strategies, identifying critical challenges, including data scarcity, environmental variability, mismatched teacher and student architectures, limited interpretability, and dynamic agricultural conditions. The review further highlights emerging solutions, such as adaptive distillation, hardware-aware distillation, cross-domain learning, explainable distillation, dynamic distillation and lifelong learning frameworks. Our findings underscore the growing potential of KD to advance precision and sustainable agriculture by enabling efficient, interpretable, and field-deployable artificial intelligence systems.</t>
  </si>
  <si>
    <t>T0017</t>
  </si>
  <si>
    <t>Precision agriculture in the age of AI: A systematic review of machine learning methods for crop disease detection</t>
  </si>
  <si>
    <t>Majdalawieh, Munir; Martins, Carla; Radi, Mohammed; Alaraj, Maher; Khan, Shafaq</t>
  </si>
  <si>
    <t>10.1016/j.atech.2025.101491</t>
  </si>
  <si>
    <t>Computer vision; Crop disease detection; Deep learning; Machine learning; Precision agriculture; Plant pathology</t>
  </si>
  <si>
    <t>Artificial Intelligence (AI) has become a critical tool in modern precision agriculture, particularly in the detection of plant diseases and pests. This study provides a comprehensive review of current AI methodologies applied to crop disease detection, with a focus on machine learning models, dataset availability, and performance metrics. Our findings indicate that Convolutional Neural Networks (CNNs) are the most widely used and cost-effective approach, while Vision Transformers (ViTs) exhibit superior accuracy but require significantly higher computational resources. We identify key research gaps, including the geographic bias in dataset origins, the trade-off between data quality and quantity, and the limited exploration of hybrid AI models. Additionally, challenges related to the scalability and real-time applicability of AI solutions in resource-constrained agricultural environments highlight the need for more efficient computational techniques. Cost-effectiveness remains a concern, as high-performance models often demand expensive infrastructure and expertise, limiting their adoption by smallholder farmers. Furthermore, cybersecurity risks in digital agriculture and disparities in research focus across different crops and disease types underscore the necessity for broader investigations. Unlike prior reviews, this study uniquely integrates methodological performance, dataset characteristics, and cybersecurity perspectives, offering a holistic synthesis that highlights not only technical advances but also practical barriers to large-scale adoption. Future work should prioritize model robustness, efficiency, and accessibility.</t>
  </si>
  <si>
    <t>ScienceDirect_citations_1790890165413.ris (C16) | ScienceDirect_citations_1790890637540.ris (C17)</t>
  </si>
  <si>
    <t>T0018</t>
  </si>
  <si>
    <t>Critical analysis of advanced machine learning and deep learning models for crop disease detection: Challenges, innovations, and future directions</t>
  </si>
  <si>
    <t>Saini, Yashika; Somani, Vikas; Khatri, Narendra</t>
  </si>
  <si>
    <t>10.1016/j.fraope.2026.100584</t>
  </si>
  <si>
    <t>Crop disease detection; Deep learning; Edge computing; Internet of things; Machine learning; Smart agriculture</t>
  </si>
  <si>
    <t>The rapid development of machine learning (ML) and deep learning (DL) technologies has brought a significant change in disease detection of crops. This review emphasizes the analysis of different ML and DL models applied on agricultural crops, focusing on detection accuracy, model efficiency, and adaptability across various disease types. A critical examination is conducted on the primary challenges of achieving real-time, scalable, and robust models in dynamic agricultural environments. The key challenges such as data imbalance, lack of rare disease data, technological barriers, model scalability and generalization challenges are explored in depth. Furthermore, the review investigates how integrating advanced technologies such as the Internet of Things (IoT), big data analytics, and edge computing can support real-time deployment and enhance the responsiveness of AI-driven disease detection systems in real-world agricultural settings. While current DL models demonstrate strong potential, limitations in generalization and field-level scalability highlight the need for further innovation. Future directions are proposed for developing holistic, AI-powered frameworks that are efficient, adaptive, and suitable for varied agro ecological conditions. Overall, the review offers a comprehensive synthesis of the current landscape, technological enablers, and persistent gaps in the field of AI-based crop disease management.</t>
  </si>
  <si>
    <t>Franklin Open</t>
  </si>
  <si>
    <t>ScienceDirect_citations_1790890637540.ris (C17)</t>
  </si>
  <si>
    <t>T0019</t>
  </si>
  <si>
    <t>A review on machine learning and deep learning image-based plant disease classification for industrial farming systems</t>
  </si>
  <si>
    <t>Sajitha, P.; Andrushia, A. Diana; Anand, N.; Naser, M.Z.</t>
  </si>
  <si>
    <t>10.1016/j.jii.2024.100572</t>
  </si>
  <si>
    <t>Plant disease detection; Agriculture; Machine learning, Deep Learning</t>
  </si>
  <si>
    <t>Plants can be affected by various diseases. As such, the early detection of crop diseases plays an essential role in the farming industry. However, such detection requires extensive pathogen knowledge and is costly and labor-intensive. These challenges present an attractive opportunity to leverage machine learning (ML) and deep learning (DL) techniques to automate the detection of crop diseases. From this perspective, we present a review paper that showcases image-based plant disease detection and classification systems and discusses success stories using ML and DL techniques. In this review paper, we examine various aspects of these systems, including the sources of plant datasets, algorithm types and techniques used in ML and DL. The findings of this review paper inspire future research by highlighting the potential challenges in applying ML and DL to plant disease and pest detection. Additionally, it proposes potential solutions to overcome these challenges, paving the way for further advancements in developing and implementing automated systems for plant disease detection and classification. This work serves as a valuable resource for researchers and practitioners in the field, guiding their efforts toward more effective and accessible solutions for crop disease management.</t>
  </si>
  <si>
    <t>Journal of Industrial Information Integration</t>
  </si>
  <si>
    <t>T0020</t>
  </si>
  <si>
    <t>UX Research practices related to Long-Term UX: A Systematic Literature Review</t>
  </si>
  <si>
    <t>Martinelli, Suéllen; Lopes, Larissa; Zaina, Luciana</t>
  </si>
  <si>
    <t>10.1016/j.infsof.2024.107431</t>
  </si>
  <si>
    <t>Systematic Literature Review; User eXperience; UX Research; Long-Term UX; Established company; Software startup</t>
  </si>
  <si>
    <t>Context:</t>
  </si>
  <si>
    <t>Information and Software Technology</t>
  </si>
  <si>
    <t>ScienceDirect_citations_1790891064720.ris (C18)</t>
  </si>
  <si>
    <t>Se completa en la Actividad 4 del itinerario. Primer filtro: marca y descarta duplicados (mismo DOI/título) y exclusiones (revisiones/surveys). Conserva un único registro por estudio. Cada descarte lleva su motivo.</t>
  </si>
  <si>
    <t>ID original</t>
  </si>
  <si>
    <t>Tipo de exclusión</t>
  </si>
  <si>
    <t>Motivo de exclusión</t>
  </si>
  <si>
    <t>Duplicado</t>
  </si>
  <si>
    <t>Tipo de estudio detectado</t>
  </si>
  <si>
    <t>Decisión</t>
  </si>
  <si>
    <t>RESUMEN DEL PRIMER FILTRO (duplicados y revisiones)</t>
  </si>
  <si>
    <t>No aplica</t>
  </si>
  <si>
    <t>Registro único y estudio primario; continúa al cribado.</t>
  </si>
  <si>
    <t>No</t>
  </si>
  <si>
    <t>Primario</t>
  </si>
  <si>
    <t>Mantener</t>
  </si>
  <si>
    <t>Registros exportados (Cadenas_de_busqueda)</t>
  </si>
  <si>
    <t>Duplicados dentro de la misma base (depurados en la Act. 3)</t>
  </si>
  <si>
    <t>Registros en la base consolidada</t>
  </si>
  <si>
    <t>Excluidos en esta hoja</t>
  </si>
  <si>
    <t xml:space="preserve">   Duplicados entre bases</t>
  </si>
  <si>
    <t xml:space="preserve">   Revisiones sistemáticas</t>
  </si>
  <si>
    <t xml:space="preserve">   Revisiones de literatura</t>
  </si>
  <si>
    <t>Registros que pasan al cribado (Mantener)</t>
  </si>
  <si>
    <t xml:space="preserve">   Fitopatológicos (A)</t>
  </si>
  <si>
    <t xml:space="preserve">   Tecnológicos (T)</t>
  </si>
  <si>
    <t>Pasan al cribado por base</t>
  </si>
  <si>
    <t xml:space="preserve">   Scopus</t>
  </si>
  <si>
    <t xml:space="preserve">   ScienceDirect</t>
  </si>
  <si>
    <t xml:space="preserve">   Springer Link</t>
  </si>
  <si>
    <t>Comprobación: exportados − duplicados internos − excluidos = cribados</t>
  </si>
  <si>
    <t>Duplicado entre bases de A0001. Mismo DOI (10.1016/j.micres.2018.11.009) que A0001 de Scopus; se conserva A0001.</t>
  </si>
  <si>
    <t>Sí</t>
  </si>
  <si>
    <t>Excluir</t>
  </si>
  <si>
    <t>Duplicado entre bases de A0026. Mismo DOI (10.1016/j.pmpp.2025.102735) que A0026 de Scopus; se conserva A0026, cuyo texto completo es el PDF de A0044.</t>
  </si>
  <si>
    <t>Revisión de literatura</t>
  </si>
  <si>
    <t>Estudio secundario (revisión): se retira antes del cribado por "otros motivos" (protocolo v3, CE-F2/CE-T3) y se usa como fuente de los antecedentes y del estado del arte. Revisión sobre Botryosphaeriaceae en aguacate.</t>
  </si>
  <si>
    <t>Revisión</t>
  </si>
  <si>
    <t>Duplicado entre bases de A0009. Mismo DOI (10.1007/s41348-024-00954-6) que A0009 de Scopus; se conserva A0009.</t>
  </si>
  <si>
    <t>Duplicado entre bases de A0025. Mismo DOI (10.1007/s40858-025-00700-9) que A0025 de Scopus; se conserva A0025.</t>
  </si>
  <si>
    <t>Revisión sistemática</t>
  </si>
  <si>
    <t>Estudio secundario (revisión): se retira antes del cribado por "otros motivos" (protocolo v3, CE-F2/CE-T3) y se usa como fuente de los antecedentes y del estado del arte. Revisión sobre detección de enfermedades con aprendizaje automático.</t>
  </si>
  <si>
    <t>Estudio secundario (revisión): se retira antes del cribado por "otros motivos" (protocolo v3, CE-F2/CE-T3) y se usa como fuente de los antecedentes y del estado del arte. Revisión con PRISMA de 72 estudios en hortalizas.</t>
  </si>
  <si>
    <t>Estudio secundario (revisión): se retira antes del cribado por "otros motivos" (protocolo v3, CE-F2/CE-T3) y se usa como fuente de los antecedentes y del estado del arte. Revisión sobre comportamiento del ganado; solo aporta el dato del límite de operadores de ScienceDirect.</t>
  </si>
  <si>
    <t>Estudio secundario (revisión): se retira antes del cribado por "otros motivos" (protocolo v3, CE-F2/CE-T3) y se usa como fuente de los antecedentes y del estado del arte. Revisión con PRISMA de 92 estudios sobre destilación de conocimiento.</t>
  </si>
  <si>
    <t>Estudio secundario (revisión): se retira antes del cribado por "otros motivos" (protocolo v3, CE-F2/CE-T3) y se usa como fuente de los antecedentes y del estado del arte. Revisión sistemática con PRISMA de 150 estudios.</t>
  </si>
  <si>
    <t>Estudio secundario (revisión): se retira antes del cribado por "otros motivos" (protocolo v3, CE-F2/CE-T3) y se usa como fuente de los antecedentes y del estado del arte. Revisión sistemática de 80 trabajos.</t>
  </si>
  <si>
    <t>Estudio secundario (revisión): se retira antes del cribado por "otros motivos" (protocolo v3, CE-F2/CE-T3) y se usa como fuente de los antecedentes y del estado del arte. Revisión con PRISMA de 135 artículos.</t>
  </si>
  <si>
    <t>Estudio secundario (revisión): se retira antes del cribado por "otros motivos" (protocolo v3, CE-F2/CE-T3) y se usa como fuente de los antecedentes y del estado del arte. Revisión sistemática (Kitchenham y Charters) de 45 artículos sobre UX.</t>
  </si>
  <si>
    <t>Los 10 duplicados dentro de una misma base (A0003, A0009, A0012, A0016, A0017, A0025, A0032, A0038, T0001 y Majdalawieh 2025 en C16 y C17) ya se depuraron al consolidar (78 exportados - 68 registros; ver Cadenas_de_busqueda). En esta hoja se marcan los 4 duplicados entre bases (se conserva el registro de Scopus) y las 9 revisiones, que se retiran antes del cribado por "otros motivos".</t>
  </si>
  <si>
    <t>Tamizaje_Titulo_Abstract_Keywords</t>
  </si>
  <si>
    <t>Se completa en la Actividad 4 del itinerario. Cribado por título, resumen y palabras clave de los registros con decisión “Mantener”. Criterios del protocolo: CI-F/CE-F (fitopatológicos) y CI-T/CE-T (tecnológicos). “¿Pasa?” = pasa a evaluación a texto completo.</t>
  </si>
  <si>
    <t>Keywords principales</t>
  </si>
  <si>
    <t>Resumen técnico del abstract</t>
  </si>
  <si>
    <t>Grupo de patógeno (1–6)</t>
  </si>
  <si>
    <t>Especie identificada (o 'spp.')</t>
  </si>
  <si>
    <t>Órgano/tejido reportado</t>
  </si>
  <si>
    <t>¿Evidencia de TALLO / tronco / rama?</t>
  </si>
  <si>
    <t>Enfermedad y síntoma reportados</t>
  </si>
  <si>
    <t>Tipo de estudio (Primario / Revisión / Otro)</t>
  </si>
  <si>
    <t>Nivel de alineación con el objetivo</t>
  </si>
  <si>
    <t>Motivo de clasificación</t>
  </si>
  <si>
    <t>¿Pasa a texto completo?</t>
  </si>
  <si>
    <t>Código de exclusión</t>
  </si>
  <si>
    <t>VERIFICACIÓN DE LA TUTORA (protocolo v3)</t>
  </si>
  <si>
    <t>Bacillus spp.; Bacterial volatiles; Biological control; Persea americana; Pseudomonas sp.; Rhizosphere</t>
  </si>
  <si>
    <t>Rizobacterias del aguacate emiten compuestos volátiles que inhiben in vitro a Fusarium, Colletotrichum y P. cinnamomi.</t>
  </si>
  <si>
    <t>Varios</t>
  </si>
  <si>
    <t>Fusarium solani; Fusarium sp. (KSHB); C. gloeosporioides; P. cinnamomi</t>
  </si>
  <si>
    <t>No reportado</t>
  </si>
  <si>
    <t>Muerte descendente por Fusarium, antracnosis y PRR (solo mencionadas)</t>
  </si>
  <si>
    <t>Bajo</t>
  </si>
  <si>
    <t>Excluir: ensayo in vitro de compuestos volátiles de rizobacterias; no aporta información del tallo (CI-F3).</t>
  </si>
  <si>
    <t>CI-F3 Sin información del tallo</t>
  </si>
  <si>
    <t>Casos dudosos que pasaron a texto completo</t>
  </si>
  <si>
    <t>A0029, A0031, A0035, A0042, T0012</t>
  </si>
  <si>
    <t>Identifica a C. fructicola como causante de antracnosis en frutos Hass en México.</t>
  </si>
  <si>
    <t>4. Colletotrichum</t>
  </si>
  <si>
    <t>C. fructicola</t>
  </si>
  <si>
    <t>Fruto</t>
  </si>
  <si>
    <t>Antracnosis y pudrición blanda del fruto; cancros del pericarpio</t>
  </si>
  <si>
    <t>Excluir: solo fruto (CE-F1).</t>
  </si>
  <si>
    <t>CE-F1 Solo fruto</t>
  </si>
  <si>
    <t>Muestra del 10 % de los excluidos (4 de 33; sorteo con semilla 2026)</t>
  </si>
  <si>
    <t>A0010, A0011, A0034, T0008</t>
  </si>
  <si>
    <t>En un vivero de Sicilia, C. perseae y C. gloeosporioides causan lesiones en el tallo y muerte descendente; pruebas de patogenicidad.</t>
  </si>
  <si>
    <t>C. perseae; C. gloeosporioides s.s.</t>
  </si>
  <si>
    <t>Tallo/tronco</t>
  </si>
  <si>
    <t>Sí, explícita</t>
  </si>
  <si>
    <t>Lesiones en tallo, decoloración de la madera y muerte descendente desde el injerto</t>
  </si>
  <si>
    <t>Alto</t>
  </si>
  <si>
    <t>Pasa: especies identificadas y síntomas en el tallo (CI-F1 a CI-F4).</t>
  </si>
  <si>
    <t>Registros cribados</t>
  </si>
  <si>
    <t>infectious process; multilocus phylogeny; pathogenicity; Persea americana; post-harvest disease; Brazil</t>
  </si>
  <si>
    <t>C. siamense es el principal agente de la antracnosis del fruto en el sureste de Brasil.</t>
  </si>
  <si>
    <t>C. siamense; C. karstii</t>
  </si>
  <si>
    <t>Antracnosis del fruto</t>
  </si>
  <si>
    <t>Pasan a texto completo</t>
  </si>
  <si>
    <t>Colletotrichum jiangxiense sexual morph; Colletotrichum species; multilocus phylogenetic analyses; pathogenicity test; Persea americana; Mexico [North America]</t>
  </si>
  <si>
    <t>Especies de Colletotrichum que causan antracnosis del fruto en seis regiones de México.</t>
  </si>
  <si>
    <t>C. siamense, C. karstii y otras</t>
  </si>
  <si>
    <t>Excluidos en el cribado</t>
  </si>
  <si>
    <t>Evalúa bioformulados contra C. perseae en ramillas desprendidas, plantas en maceta y frutos.</t>
  </si>
  <si>
    <t>C. perseae</t>
  </si>
  <si>
    <t>Lesiones en tallo y ramillas, muerte descendente y pudrición del fruto</t>
  </si>
  <si>
    <t>Medio</t>
  </si>
  <si>
    <t>Pasa: el resumen indica lesiones en tallo y ramillas por C. perseae y ensayos en ramillas (CI-F3).</t>
  </si>
  <si>
    <t xml:space="preserve">   CE-F1 Solo fruto</t>
  </si>
  <si>
    <t>Avocado; Coating; Color; Edible film; Lasiodiplodia theobromae; Pectin</t>
  </si>
  <si>
    <t>Recubrimiento de pectina para frenar la pudrición peduncular por L. theobromae en frutos.</t>
  </si>
  <si>
    <t>2. Lasiodiplodia</t>
  </si>
  <si>
    <t>L. theobromae</t>
  </si>
  <si>
    <t>Pudrición peduncular del fruto</t>
  </si>
  <si>
    <t>Excluir: solo fruto; la pudrición peduncular es del fruto (CE-F1).</t>
  </si>
  <si>
    <t xml:space="preserve">   CE-F1 Solo raíz</t>
  </si>
  <si>
    <t>Un extracto de algas aumentó el rendimiento, la calidad del fruto y el crecimiento radicular en Australia.</t>
  </si>
  <si>
    <t>1. Phytophthora</t>
  </si>
  <si>
    <t>P. cinnamomi (presión de inóculo)</t>
  </si>
  <si>
    <t>No describe síntomas</t>
  </si>
  <si>
    <t>Excluir: evalúa extracto de algas sobre rendimiento, calidad del fruto y raíces; sin información del tallo (CI-F3).</t>
  </si>
  <si>
    <t xml:space="preserve">   CI-F3 Sin información del tallo</t>
  </si>
  <si>
    <t>Anthracnose; Avocado; Branch canker; Dieback; Fungal diseases; Soil-borne pathogens</t>
  </si>
  <si>
    <t>Encuesta de 2537 árboles en Antalya (Turquía); identifica patógenos y evalúa su severidad en ramas y hojas.</t>
  </si>
  <si>
    <t>C. gloeosporioides, P. cinnamomi, F. solani, F. oxysporum, N. parvum, L. theobromae, N. rosae</t>
  </si>
  <si>
    <t>Muerte descendente, cancro de rama, antracnosis y pudrición radicular</t>
  </si>
  <si>
    <t>Pasa: encuesta de campo con síntomas en copa, ramillas y ramas (CI-F1 a CI-F4).</t>
  </si>
  <si>
    <t xml:space="preserve">   CE-T2 No aborda enfermedades</t>
  </si>
  <si>
    <t>Persea; Phylogeny; Phytophthora; Virulence; fungal protein; RxLR protein</t>
  </si>
  <si>
    <t>Expresión de efectores RxLR de P. cinnamomi durante la infección de un portainjerto.</t>
  </si>
  <si>
    <t>P. cinnamomi</t>
  </si>
  <si>
    <t>Raíz</t>
  </si>
  <si>
    <t>Pudrición radicular (PRR)</t>
  </si>
  <si>
    <t>Excluir: solo raíz; estudio molecular de efectores (CE-F1).</t>
  </si>
  <si>
    <t>CE-F1 Solo raíz</t>
  </si>
  <si>
    <t xml:space="preserve">   CE-T1 No usa IA</t>
  </si>
  <si>
    <t>etiology; Persea americana; postharvest disease; streptomycin; anthracnose; Article</t>
  </si>
  <si>
    <t>Primer registro de C. anthrisci causando antracnosis en frutos Hass en Chile.</t>
  </si>
  <si>
    <t>C. anthrisci</t>
  </si>
  <si>
    <t>Por categoría</t>
  </si>
  <si>
    <t>Fusarium equiseti; Persea americana; postharvest fruit rot; rpb2 phylogeny; stem-end rot; tef1</t>
  </si>
  <si>
    <t>Primer reporte de F. equiseti en poscosecha de aguacate en Turquía.</t>
  </si>
  <si>
    <t>5. Fusarium</t>
  </si>
  <si>
    <t>F. equiseti</t>
  </si>
  <si>
    <t>Pudrición del fruto y pudrición peduncular</t>
  </si>
  <si>
    <t xml:space="preserve">   Fitopatológicos cribados</t>
  </si>
  <si>
    <t>Primer reporte de P. cinnamomi causando pudrición radicular en India (sin resumen).</t>
  </si>
  <si>
    <t>Pudrición radicular</t>
  </si>
  <si>
    <t>Excluir: solo raíz según el título; sin resumen disponible (CE-F1).</t>
  </si>
  <si>
    <t xml:space="preserve">   Fitopatológicos que pasan</t>
  </si>
  <si>
    <t>Canker; Diagnosis; Persea americana; Phylogeny; Plant disease complex; Brazil</t>
  </si>
  <si>
    <t>Cuatro hongos nuevos causantes de muerte descendente aislados de tallos de aguacate en São Paulo (Brasil).</t>
  </si>
  <si>
    <t>Neopestalotiopsis arecacearum; Neocosmospora bostrycoides; Nectria pseudotrichia; Cytospora viridistroma</t>
  </si>
  <si>
    <t>Muerte descendente</t>
  </si>
  <si>
    <t>Pasa: aislamientos de tallos sintomáticos con muerte descendente (CI-F1 a CI-F4).</t>
  </si>
  <si>
    <t xml:space="preserve">   Tecnológicos cribados</t>
  </si>
  <si>
    <t>canker; dieback; Lasiodiplodia brasiliensis; Neofusicoccum australe; Neofusicoccum cryptoaustrale; Neofusicoccum luteum</t>
  </si>
  <si>
    <t>Caracteriza los hongos de Botryosphaeriaceae asociados a síntomas aéreos en Tenerife (2018–2022).</t>
  </si>
  <si>
    <t>3. Botryosphaeriaceae</t>
  </si>
  <si>
    <t>N. australe; N. cryptoaustrale/stellenboschiana; N. luteum; N. parvum; L. brasiliensis</t>
  </si>
  <si>
    <t>Muerte descendente, necrosis de ramas e inflorescencias, cancros en ramas y tronco, pudrición peduncular</t>
  </si>
  <si>
    <t>Pasa: síntomas aéreos en ramas y tronco con especies identificadas (CI-F1 a CI-F4).</t>
  </si>
  <si>
    <t xml:space="preserve">   Tecnológicos que pasan</t>
  </si>
  <si>
    <t>aetiology; cankers; Lasiodiplodia sp.; Neofusicoccum spp.; pathogenicity; Persea americana</t>
  </si>
  <si>
    <t>Identifica Botryosphaeriaceae como causa principal de la muerte descendente en el sur de España (2019–2022).</t>
  </si>
  <si>
    <t>Neofusicoccum spp.; Lasiodiplodia sp.; Diaporthe sp.; Colletotrichum sp.</t>
  </si>
  <si>
    <t>Muerte de ramas, cancros, enrojecimiento vascular y momificación de frutos</t>
  </si>
  <si>
    <t>Pasa: etiología de la muerte descendente con síntomas en ramas (CI-F1 a CI-F4).</t>
  </si>
  <si>
    <t>Comprobación: pasan + excluidos = cribados</t>
  </si>
  <si>
    <t>avocado; fungal genomics; genome assembly; Nectriaceae; plant pathogen; Rugonectria rugulosa</t>
  </si>
  <si>
    <t>Anuncio del genoma de R. rugulosa, asociado al cancro del tronco del aguacate en Colombia.</t>
  </si>
  <si>
    <t>6. Nectria</t>
  </si>
  <si>
    <t>Rugonectria rugulosa</t>
  </si>
  <si>
    <t>Sí, parcial</t>
  </si>
  <si>
    <t>Cancro del tronco</t>
  </si>
  <si>
    <t>Pasa: hongo asociado al cancro del tronco; verificar a texto completo cuánto aporta sobre síntomas.</t>
  </si>
  <si>
    <t>Identifica y prueba la patogenicidad de 22 especies asociadas a enfermedades del aguacate en Italia.</t>
  </si>
  <si>
    <t>Botryosphaeriaceae, Colletotrichum y Phytophthora (22 especies)</t>
  </si>
  <si>
    <t>Manchas foliares, cancros de rama, muerte descendente y pudriciones de fruto y raíz</t>
  </si>
  <si>
    <t>Pasa: 430 muestras que incluyen ramas y tallos; bioensayos por órgano (CI-F1 a CI-F4).</t>
  </si>
  <si>
    <t>Hongos asociados a la pudrición peduncular del fruto en Kenia.</t>
  </si>
  <si>
    <t>L. theobromae; N. parvum; Nectria pseudotrichia; Fusarium spp.</t>
  </si>
  <si>
    <t>Excluir: la pudrición peduncular es del fruto, no del tallo (CE-F1).</t>
  </si>
  <si>
    <t>Avocado; Fungal pathogen; Pathogenicity; Post-harvest; Article; Aspergillus flavus</t>
  </si>
  <si>
    <t>Hongos causantes de deterioro poscosecha en el aguacate 034 en Vietnam.</t>
  </si>
  <si>
    <t>Lasiodiplodia spp.; Colletotrichum spp.; Fusarium spp. y otros</t>
  </si>
  <si>
    <t>Deterioro poscosecha del fruto</t>
  </si>
  <si>
    <t>Alleles; Crinkler effectors; Hemibiotroph; In silico; Molecular characterization; Phytophthora</t>
  </si>
  <si>
    <t>Identifica efectores CRN de P. cinnamomi durante la infección del aguacate.</t>
  </si>
  <si>
    <t>Identifica los agentes de la muerte descendente de ramas en Málaga y su patogenicidad.</t>
  </si>
  <si>
    <t>N. parvum; C. gloeosporioides; N. luteum; N. australe; N. mediterraneum; L. theobromae</t>
  </si>
  <si>
    <t>Rama</t>
  </si>
  <si>
    <t>Muerte descendente y cancros de rama</t>
  </si>
  <si>
    <t>Pasa: primer estudio de cancros de rama del aguacate en España (CI-F1 a CI-F4).</t>
  </si>
  <si>
    <t>Biological control; New alternatives; Reduction of disease; Sustainable diseases management; Bacillus sp.; Basidiomycota</t>
  </si>
  <si>
    <t>Propuesta de manejo integrado de la pudrición radicular por P. cinnamomi.</t>
  </si>
  <si>
    <t>Excluir: solo raíz; manejo de la pudrición radicular (CE-F1).</t>
  </si>
  <si>
    <t>autumn pruning; avocado; eco-friendly control; gibberellic acid; integrated disease management; Neofusicoccum</t>
  </si>
  <si>
    <t>Compara estrategias de manejo de la muerte descendente por Botryosphaeriaceae en clima mediterráneo.</t>
  </si>
  <si>
    <t>Neofusicoccum spp.</t>
  </si>
  <si>
    <t>Pasa: evalúa la muerte descendente en campo (CI-F1 a CI-F4).</t>
  </si>
  <si>
    <t>Compara la necrosis externa e interna del tallo según el método de inoculación de L. theobromae.</t>
  </si>
  <si>
    <t>Necrosis externa e interna del tallo</t>
  </si>
  <si>
    <t>Pasa: describe el desarrollo de síntomas en el tallo (CI-F1 a CI-F4).</t>
  </si>
  <si>
    <t>Diversidad de oomicetos de la pudrición radicular en India y prueba LAMP.</t>
  </si>
  <si>
    <t>P. cinnamomi y otras especies de Phytophthora y Phytopythium</t>
  </si>
  <si>
    <t>Excluir: solo raíz (CE-F1).</t>
  </si>
  <si>
    <t>Botryosphaeria dothidea; Diospyros kaki; Lasiodiplodia pseudotheobromae; Neofusicoccum parvum; Persea americana; postharvest diseases</t>
  </si>
  <si>
    <t>Mecanismos de penetración de Botryosphaeriaceae en frutos de aguacate, guayaba y caqui.</t>
  </si>
  <si>
    <t>B. dothidea; L. pseudotheobromae; N. parvum</t>
  </si>
  <si>
    <t>Penetración y pudrición del fruto en poscosecha</t>
  </si>
  <si>
    <t>Diversidad y patogenicidad de Colletotrichum asociado a la antracnosis del fruto en Chile.</t>
  </si>
  <si>
    <t>10 especies de Colletotrichum</t>
  </si>
  <si>
    <t>oomycete; Phytophthora root rot; ploidy; population biology; potassium phosphite; California</t>
  </si>
  <si>
    <t>Estructura poblacional y variabilidad fenotípica de P. cinnamomi en California y México.</t>
  </si>
  <si>
    <t>Pudrición radicular (PRR); virulencia según el tejido</t>
  </si>
  <si>
    <t>Dudoso: el resumen indica virulencia distinta según el tejido infectado, sin precisarlo; se verifica a texto completo.</t>
  </si>
  <si>
    <t>Cambios de la comunidad bacteriana de la rizosfera causados por la pudrición radicular.</t>
  </si>
  <si>
    <t>Pudrición radicular; cambios en la rizosfera</t>
  </si>
  <si>
    <t>Excluir: solo raíz (rizosfera) (CE-F1).</t>
  </si>
  <si>
    <t>Fusarium; Mortierella; Persea americana; rhizosphere microbial communities; root necrotizing fungi; chloramphenicol</t>
  </si>
  <si>
    <t>Efecto de la pudrición radicular en el microbioma de la rizosfera y patogenicidad de hongos oportunistas.</t>
  </si>
  <si>
    <t>Fusarium spp.; Lasiodiplodia sp.; Mortierella sp.; Scytalidium sp.</t>
  </si>
  <si>
    <t>Pudrición radicular; patogenicidad de hongos oportunistas</t>
  </si>
  <si>
    <t>Dudoso: evalúa la patogenicidad de Fusarium y Lasiodiplodia "en aguacate" sin indicar el órgano; se verifica a texto completo.</t>
  </si>
  <si>
    <t>Especies de Phytophthora causantes de pudrición radicular en viveros de Colombia.</t>
  </si>
  <si>
    <t>P. cinnamomi; P. heveae</t>
  </si>
  <si>
    <t>Pudrición radicular en vivero</t>
  </si>
  <si>
    <t>Alternative control; Colletotrichum gloeosporioides; Edible coatings; Persea americana; Postharvest; Coatings</t>
  </si>
  <si>
    <t>Aceite esencial con recubrimiento para controlar la antracnosis en poscosecha.</t>
  </si>
  <si>
    <t>C. gloeosporioides</t>
  </si>
  <si>
    <t>avocado; Botryosphaeriaceae; climatic factors; Glomerellaceae; spore dispersion; Chile</t>
  </si>
  <si>
    <t>Dinámica de esporas y su relación con las pudriciones del fruto en Chile.</t>
  </si>
  <si>
    <t>Botryosphaeriaceae y Glomerellaceae</t>
  </si>
  <si>
    <t>Pudriciones del fruto (pudrición peduncular y antracnosis)</t>
  </si>
  <si>
    <t>Excluir: el objeto son las pudriciones del fruto (CE-F1).</t>
  </si>
  <si>
    <t>Metabolismo oxidativo en clones tolerante y susceptible tras inocular P. cinnamomi en la base del tallo.</t>
  </si>
  <si>
    <t>Lesión en la base del tallo (inoculación); respuesta de defensa en hojas</t>
  </si>
  <si>
    <t>Dudoso: inoculación en la base del tallo; se verifica a texto completo si describe síntomas.</t>
  </si>
  <si>
    <t>Trichoderma spp. para suprimir la pudrición peduncular del fruto en Kenia.</t>
  </si>
  <si>
    <t>L. theobromae; N. parvum; N. pseudotrichia; F. solani</t>
  </si>
  <si>
    <t>Excluir: la pudrición peduncular es del fruto (CE-F1).</t>
  </si>
  <si>
    <t>NPR1; Pathogenesis-related; Persea americana; Phytophthora cinnamomi; RNA-sequencing; Salicylic acid</t>
  </si>
  <si>
    <t>Genes de la vía NPR1 en portainjertos tras la infección por P. cinnamomi.</t>
  </si>
  <si>
    <t>Excluir: solo raíz; expresión génica en portainjertos (CE-F1).</t>
  </si>
  <si>
    <t>Factores de clima, plantación y manejo asociados al cancro de rama y la muerte descendente en Chile.</t>
  </si>
  <si>
    <t>Botryosphaeriaceae spp.</t>
  </si>
  <si>
    <t>Cancro de rama y muerte descendente</t>
  </si>
  <si>
    <t>Pasa: cancro y muerte descendente en ramas y factores asociados (CI-F1 a CI-F4).</t>
  </si>
  <si>
    <t>Endófitos fúngicos de raíces de aguacate con actividad contra P. cinnamomi y promoción del crecimiento.</t>
  </si>
  <si>
    <t>No describe síntomas (antagonismo in vitro)</t>
  </si>
  <si>
    <t>Excluir: endófitos de raíz y antagonismo in vitro contra P. cinnamomi (CE-F1).</t>
  </si>
  <si>
    <t>Caracteriza el patógeno de la pudrición radicular en India y busca agentes de biocontrol.</t>
  </si>
  <si>
    <t>Compara el potencial de inoculación cruzada de aislamientos de aguacate y mango (sin resumen).</t>
  </si>
  <si>
    <t>No indicado (sin resumen)</t>
  </si>
  <si>
    <t>Dudoso: sin resumen disponible; se verifica a texto completo.</t>
  </si>
  <si>
    <t>Efecto del encharcamiento y de P. cinnamomi en la fotosíntesis de portainjertos.</t>
  </si>
  <si>
    <t>Pudrición radicular; fotosíntesis de los brotes</t>
  </si>
  <si>
    <t>Excluir: pudrición radicular y fisiología del brote, sin síntomas en el tallo (CE-F1).</t>
  </si>
  <si>
    <t>Cambios de la comunidad bacteriana de la rizosfera en árboles con muerte descendente por Fusarium.</t>
  </si>
  <si>
    <t>Fusarium spp. (muerte descendente por Fusarium)</t>
  </si>
  <si>
    <t>Cambios en la rizosfera tras la muerte descendente</t>
  </si>
  <si>
    <t>Excluir: estudia la rizosfera, no los síntomas del tallo (CE-F1).</t>
  </si>
  <si>
    <t>Deep learning; Dehydration stage; Hyperspectral reflectance values; Machine learning; Multi-spectral images; Bayesian networks</t>
  </si>
  <si>
    <t>Clasifica la deshidratación de hojas de aguacate con imágenes multiespectrales y CNN.</t>
  </si>
  <si>
    <t>Otro/No aplica</t>
  </si>
  <si>
    <t>Aguacate</t>
  </si>
  <si>
    <t>Estrés hídrico (deshidratación foliar)</t>
  </si>
  <si>
    <t>Excluir: estrés hídrico, no enfermedades (CE-T2).</t>
  </si>
  <si>
    <t>CE-T2 No aborda enfermedades</t>
  </si>
  <si>
    <t>ApaltAI: ensamble de aprendizaje profundo y aplicación web para diagnosticar antracnosis y roña.</t>
  </si>
  <si>
    <t>Antracnosis y roña del fruto</t>
  </si>
  <si>
    <t>Pasa: diagnóstico de enfermedades con IA desplegado en una aplicación web (CI-T1 a CI-T4).</t>
  </si>
  <si>
    <t>Predice la etapa de maduración y la vida útil del aguacate Hass con CNN.</t>
  </si>
  <si>
    <t>Maduración (no es enfermedad)</t>
  </si>
  <si>
    <t>Excluir: maduración y vida útil (CE-T2).</t>
  </si>
  <si>
    <t>Red híbrida multicanal para clasificar la madurez del aguacate.</t>
  </si>
  <si>
    <t>Madurez (no es enfermedad)</t>
  </si>
  <si>
    <t>Excluir: clasificación de madurez (CE-T2).</t>
  </si>
  <si>
    <t>Avocado ripeness; Ensemble stacking; Machine learning; Near-infrared spectroscopy; Non-destructive quality control; Precision agriculture</t>
  </si>
  <si>
    <t>Ensambles de aprendizaje automático con NIR para predecir la madurez.</t>
  </si>
  <si>
    <t>Excluir: madurez con espectroscopía NIR (CE-T2).</t>
  </si>
  <si>
    <t>Función de pérdida híbrida para clasificar la maduración con etiquetas ruidosas.</t>
  </si>
  <si>
    <t>Excluir: clasificación de maduración con etiquetas ruidosas (CE-T2).</t>
  </si>
  <si>
    <t>Relaciona índices de vegetación de UAV con la antracnosis foliar en Amazonas (Perú).</t>
  </si>
  <si>
    <t>Antracnosis foliar</t>
  </si>
  <si>
    <t>Excluir: índices de vegetación desde UAV sin modelos de IA (CE-T1).</t>
  </si>
  <si>
    <t>CE-T1 No usa IA</t>
  </si>
  <si>
    <t>AI; DETR; Plant disease; Transformer; VGG16; YOLO</t>
  </si>
  <si>
    <t>Compara RF, VGG16, CNN, YOLO y DETR con un conjunto propio de Pakistán.</t>
  </si>
  <si>
    <t>Trigo y guisante</t>
  </si>
  <si>
    <t>Enfermedades foliares de trigo y guisante</t>
  </si>
  <si>
    <t>Pasa: detección con IA y análisis de su uso en tiempo real (CI-T1 a CI-T4).</t>
  </si>
  <si>
    <t>agriculture; convolutional neural networks (CNN); deep learning; disease severity estimation; image processing; mobile application</t>
  </si>
  <si>
    <t>App React Native con CNN y estimación de severidad.</t>
  </si>
  <si>
    <t>Varios cultivos</t>
  </si>
  <si>
    <t>Enfermedades foliares y su severidad</t>
  </si>
  <si>
    <t>Pasa: aplicación móvil con CNN para detectar enfermedades (CI-T1 a CI-T4).</t>
  </si>
  <si>
    <t>Herramienta de ciencia ciudadana para iOS y Android que detecta enfermedades y plagas.</t>
  </si>
  <si>
    <t>Tomate, vid y olivo</t>
  </si>
  <si>
    <t>Enfermedades y plagas foliares</t>
  </si>
  <si>
    <t>Pasa: aplicación para teléfono con aprendizaje profundo, probada en campo (CI-T1 a CI-T4).</t>
  </si>
  <si>
    <t>Classification Persea Americana; convolutional neuronal network; DenseNet; EfficientNet; ResNet; Agribusiness</t>
  </si>
  <si>
    <t>Clasificación de frutos de Persea americana con CNN optimizadas en una planta agroindustrial.</t>
  </si>
  <si>
    <t>Atributos del fruto (no se precisa si hay enfermedad)</t>
  </si>
  <si>
    <t>Dudoso: clasifica "atributos" del fruto en un entorno agroindustrial sin precisar si son enfermedades; se verifica a texto completo.</t>
  </si>
  <si>
    <t>Marco de tres capas con app Android para diagnosticar enfermedades en cinco cultivos.</t>
  </si>
  <si>
    <t>Trigo, arroz, forraje, maíz y caña</t>
  </si>
  <si>
    <t>19 enfermedades foliares</t>
  </si>
  <si>
    <t>Pasa: marco de tres capas con aplicación móvil y CNN (CI-T1 a CI-T4).</t>
  </si>
  <si>
    <t>Se completa en la Actividad 4 del itinerario. Evaluación de elegibilidad a texto completo de los registros que pasaron el cribado. Se registra el motivo principal de exclusión.</t>
  </si>
  <si>
    <t>¿PDF recuperado?</t>
  </si>
  <si>
    <t>Archivo PDF</t>
  </si>
  <si>
    <t>Justificación</t>
  </si>
  <si>
    <t>RESUMEN DE LA EVALUACIÓN A TEXTO COMPLETO</t>
  </si>
  <si>
    <t>Grupos v2/Todos/scopus/A0003 - horticulturae-12-00111-v2.pdf</t>
  </si>
  <si>
    <t>Incluir</t>
  </si>
  <si>
    <t>Lesiones necróticas en brotes y tallos y muerte descendente desde el injerto (incidencia &gt; 45 % en vivero); patogenicidad con lesiones externas e internas en el tallo (Fig. 1 y 3).</t>
  </si>
  <si>
    <t>Informes buscados (pasan el cribado)</t>
  </si>
  <si>
    <t>Grupos v2/Todos/scopus/A0006 - Ecofriendly management of anthracnose on avocado caused by Colletotrichum perseae in the M.pdf</t>
  </si>
  <si>
    <t>Mide las lesiones internas por C. perseae en ramillas desprendidas y en plantas en maceta (Tabla 4, Fig. 2).</t>
  </si>
  <si>
    <t>Informes no recuperados</t>
  </si>
  <si>
    <t>Grupos v2/Todos/scopus/A0009 - s41348-024-00954-6.pdf</t>
  </si>
  <si>
    <t>Encuesta de 2537 árboles con síntomas en ramillas, ramas y tallo; patogenicidad en ramas inoculadas (Fig. 5).</t>
  </si>
  <si>
    <t>Informes evaluados (PDF leído)</t>
  </si>
  <si>
    <t>Grupos v2/Todos/scopus/A0014 - 1-s2.0-S0261219425000602-main.pdf</t>
  </si>
  <si>
    <t>Aislamientos de tallos con muerte descendente; la patogenicidad en plántulas reproduce marchitez y oscurecimiento vascular.</t>
  </si>
  <si>
    <t>Excluidos a texto completo</t>
  </si>
  <si>
    <t>Grupos v2/Todos/scopus/A0015 - microorganisms-11-00585-v4.pdf</t>
  </si>
  <si>
    <t>Necrosis de ramas en el 90 % de los huertos, cancros en ramas y tronco; inoculaciones en el tallo con exudados y necrosis interna.</t>
  </si>
  <si>
    <t xml:space="preserve">   Solo raíz</t>
  </si>
  <si>
    <t>Grupos v2/Todos/scopus/A0016 - Fungal Species of Botryosphaeriaceae Associated With Avocado Dieback in Southern Spain.pdf</t>
  </si>
  <si>
    <t>Síntomas de muerte descendente (ramas secas, haces vasculares rojizos, perseitol; Fig. 2) y patogenicidad en plantas, tallos y frutos.</t>
  </si>
  <si>
    <t xml:space="preserve">   Solo fruto</t>
  </si>
  <si>
    <t>Grupos v2/Todos/scopus/A0017 - Genome assembly and annotation of Rugonectria rugulosa, a fungus associated with avocado (.pdf</t>
  </si>
  <si>
    <t>Cumple los criterios: especie identificada y aislada de lesiones activas de cancro del tronco en Colombia; aporta poca información de síntomas.</t>
  </si>
  <si>
    <t xml:space="preserve">   Sin información de síntomas en tallo</t>
  </si>
  <si>
    <t>Grupos v2/Todos/scopus/A0018 - agriculture-16-01035.pdf</t>
  </si>
  <si>
    <t>Cancros en el 86 % de los árboles; describe síntomas de Botryosphaeriaceae y Phytophthora en ramas y tallo (Fig. 3) y bioensayos por órgano.</t>
  </si>
  <si>
    <t xml:space="preserve">   No aborda el diagnóstico de enfermedades</t>
  </si>
  <si>
    <t>Grupos v2/Todos/scopus/A0022 - View of Identification, pathogenicity and distribution of the causal agents of dieback in.pdf</t>
  </si>
  <si>
    <t>Fig. 1: ramas secas, necrosis externa en ramillas, lesiones internas y lesiones externas con exudado; patogenicidad de seis especies.</t>
  </si>
  <si>
    <t>Elegibles (pasan a la evaluación de calidad, Act. 5)</t>
  </si>
  <si>
    <t>Grupos v2/Todos/scopus/A0024 - horticulturae-12-00673-v2.pdf</t>
  </si>
  <si>
    <t>Evalúa la muerte descendente en campo durante varias temporadas con una escala visual de severidad (0–3).</t>
  </si>
  <si>
    <t xml:space="preserve">   Fitopatológicos</t>
  </si>
  <si>
    <t>Grupos v2/Todos/scopus/A0025 - s40858-025-00700-9.pdf</t>
  </si>
  <si>
    <t>Cuantifica la necrosis externa e interna del tallo con dos métodos de inoculación (Fig. 1 y 2, Tabla 1).</t>
  </si>
  <si>
    <t xml:space="preserve">   Tecnológicos</t>
  </si>
  <si>
    <t>Grupos v2/Todos/scopus/A0029 - Phytophthora cinnamomi Populations Affecting Avocado in California Show Low Differentiatio.pdf</t>
  </si>
  <si>
    <t>Solo raíz</t>
  </si>
  <si>
    <t>Las pruebas de virulencia se hicieron en raíces de aguacate y en frutos de pera; no evalúa el tallo.</t>
  </si>
  <si>
    <t>Comprobación: evaluados − excluidos = elegibles</t>
  </si>
  <si>
    <t>Grupos v2/Todos/scopus/A0031 - fmicb-11-574110.pdf</t>
  </si>
  <si>
    <t>Además de la rizosfera, prueba Fusarium spp., Lasiodiplodia sp. y otros hongos en tallos desprendidos, con una escala de necrosis 0–3 (necrosis vascular, necrosis externa y marchitez). Caso dudoso para la tutora.</t>
  </si>
  <si>
    <t>Grupos v2/Todos/scopus/A0035 - descarga.pdf</t>
  </si>
  <si>
    <t>Sin información de síntomas en tallo</t>
  </si>
  <si>
    <t>El tallo solo es el sitio de inoculación y el diámetro de la lesión se usa como medida de virulencia (AUDPC); analiza enzimas en hojas y no describe síntomas del tallo. Caso dudoso para la tutora.</t>
  </si>
  <si>
    <t>Grupos v2/Todos/scopus/A0038 - horticulturae-08-01121.pdf</t>
  </si>
  <si>
    <t>Describe cancros, corteza friable, protuberancias y necrosis interna en ramas y tronco (Fig. 1); incidencia por huerto.</t>
  </si>
  <si>
    <t>Grupos v2/Todos/Science Direct/A0042 - 1-s2.0-S0944501304701135-main.pdf</t>
  </si>
  <si>
    <t>Solo fruto</t>
  </si>
  <si>
    <t>Inoculaciones cruzadas en frutos de aguacate y mango; no evalúa el tallo.</t>
  </si>
  <si>
    <t>Grupos v2/Todos/scopus/T0002 - fpls-17-1736123.pdf</t>
  </si>
  <si>
    <t>Diagnóstico de antracnosis y roña con un ensamble de aprendizaje profundo desplegado en una aplicación web (CI-T1 a CI-T4).</t>
  </si>
  <si>
    <t>Grupos v2/Todos/scopus/T0009 - peerj-cs-3509.pdf</t>
  </si>
  <si>
    <t>Compara modelos clásicos y profundos, analiza su viabilidad en tiempo real y propone una aplicación móvil (CI-T3).</t>
  </si>
  <si>
    <t>Grupos v2/Todos/scopus/T0010 - Deep_Learning_Based_Mobile_Application_for_Automated_Plant_Disease_Detection.pdf</t>
  </si>
  <si>
    <t>Aplicación React Native con CNN e inferencia en servidor; reporta tiempo de respuesta y pruebas de usuario.</t>
  </si>
  <si>
    <t>Grupos v2/Todos/scopus/T0011 - technologies-12-00101.pdf</t>
  </si>
  <si>
    <t>Aplicación iOS/Android con YOLOv8 y sistema de apoyo a la decisión; probada en campo con 50 usuarios.</t>
  </si>
  <si>
    <t>Grupos v2/Todos/scopus/T0012 - Automated_and_Enhanced_Classification_of_Persea_Americana_Using_Optimized_Deep_Convol.pdf</t>
  </si>
  <si>
    <t>No aborda el diagnóstico de enfermedades</t>
  </si>
  <si>
    <t>Clasifica frutos en "buen" o "mal" estado con imágenes de Kaggle; no diagnostica enfermedades.</t>
  </si>
  <si>
    <t>Grupos v2/Todos/springer/T0013 - s44163-026-01062-0.pdf</t>
  </si>
  <si>
    <t>Aplicación Android de tres capas con CNN y VGG-16 para 19 enfermedades foliares, con validación cruzada.</t>
  </si>
  <si>
    <t>Se completa en la Actividad 5 del itinerario. Calidad Q1–Q10 de los estudios elegibles tras el texto completo (0 = no cumple, 1 = parcial, 2 = cumple). Los criterios Q1–Q10 difieren según la categoría (ver hoja Protocolo). Total y nivel se calculan solos.</t>
  </si>
  <si>
    <t>Q1</t>
  </si>
  <si>
    <t>Q2</t>
  </si>
  <si>
    <t>Q3</t>
  </si>
  <si>
    <t>Q4</t>
  </si>
  <si>
    <t>Q5</t>
  </si>
  <si>
    <t>Q6</t>
  </si>
  <si>
    <t>Q7</t>
  </si>
  <si>
    <t>Q8</t>
  </si>
  <si>
    <t>Q9</t>
  </si>
  <si>
    <t>Q10</t>
  </si>
  <si>
    <t>Puntaje total</t>
  </si>
  <si>
    <t>Nivel de calidad</t>
  </si>
  <si>
    <t>Observaciones de calidad</t>
  </si>
  <si>
    <t>RESUMEN DE LA EVALUACIÓN DE CALIDAD</t>
  </si>
  <si>
    <t>Identificación multilocus (7 loci); síntomas en tallo con figuras; muestreo amplio en vivero (~20 000 plantas); patogenicidad con reaislamiento (Koch). Sin riesgos relevantes.</t>
  </si>
  <si>
    <t>Estudios evaluados</t>
  </si>
  <si>
    <t>Estudio de manejo: el aislamiento de C. perseae se identificó en un estudio previo. Las lesiones del tallo se miden (destructivamente) pero apenas se describen (Q3 = 1). No trata métodos de detección (Q7 = 0).</t>
  </si>
  <si>
    <t>Alta calidad (16–20)</t>
  </si>
  <si>
    <t>Muestra grande (2537 árboles). P. cinnamomi y M. phaseolina solo se identificaron por morfología (Q2 = 1). Síntomas del tallo descritos de forma breve (Q3 = 1). Inoculación en ramas sin reaislamiento (Koch incompleto); severidad foliar no analizada estadísticamente (Q9 = 1).</t>
  </si>
  <si>
    <t>Media calidad (11–15)</t>
  </si>
  <si>
    <t>Identificación multilocus y patogenicidad en plántulas y frutos. Muestra pequeña (2 plantaciones, 7 aislamientos). Síntomas del tallo descritos brevemente (Q3 = 1); solo métodos de laboratorio (Q7 = 1).</t>
  </si>
  <si>
    <t>Baja calidad (≤ 10)</t>
  </si>
  <si>
    <t>158 muestras de 40 huertos; tres marcadores; descripción detallada de cancros y necrosis en ramas y tronco; patogenicidad en tallo. Algunos aislamientos no se asignaron a una sola especie (complejo N. cryptoaustrale/stellenboschiana).</t>
  </si>
  <si>
    <t>Fitopatológicos evaluados</t>
  </si>
  <si>
    <t>252 aislamientos de 28 fincas (2019–2022); síntomas ilustrados (Fig. 2); patogenicidad en plantas, tallos y frutos con reidentificación (Koch). Sin riesgos relevantes.</t>
  </si>
  <si>
    <t xml:space="preserve">   de alta calidad</t>
  </si>
  <si>
    <t>Anuncio de genoma: un solo aislamiento identificado por ITS. No describe síntomas (Q3 = 0) ni prueba la patogenicidad (Koch no aplicado). Aporta un recurso genómico, no evidencia de síntomas.</t>
  </si>
  <si>
    <t xml:space="preserve">   puntaje medio</t>
  </si>
  <si>
    <t>430 muestras de 115 plantas; identificación con varios marcadores; síntomas por órgano con figuras; bioensayos por órgano. Advierte que Phytophthora y Botryosphaeriaceae pueden verse iguales en el tronco.</t>
  </si>
  <si>
    <t>Tecnológicos evaluados</t>
  </si>
  <si>
    <t>68 aislamientos de 10 huertos; tres marcadores; síntomas ilustrados (Fig. 1); patogenicidad y AUDPC. Sin riesgos relevantes.</t>
  </si>
  <si>
    <t>Ensayos de campo y mesocosmos en varias temporadas; escala visual de severidad 0–3 y qPCR de esporas. El síntoma (muerte descendente de ramillas florales) se describe de forma general (Q3 = 1).</t>
  </si>
  <si>
    <t>Un solo aislamiento virulento identificado en un estudio previo; mide la necrosis externa e interna con estadística. Es un método de inoculación, no de diagnóstico (Q7 = 1).</t>
  </si>
  <si>
    <t>Casos en el límite entre categorías (15–16 puntos), para la tutora</t>
  </si>
  <si>
    <t>A0017 (15), T0002 (16), T0010 (16)</t>
  </si>
  <si>
    <t>Lasiodiplodia identificado solo a género (Q2 = 1). La información del tallo proviene de ensayos en tallos desprendidos con escala 0–3, como objetivo secundario (Q3 = 1). Patogenicidad con reaislamiento (Koch).</t>
  </si>
  <si>
    <t>16 huertos y 76 variables con análisis multivariado; escala visual de severidad (0–9); síntomas ilustrados (Fig. 1). Las especies se identificaron por ADN en un estudio previo; no hay pruebas de patogenicidad porque no era su objetivo.</t>
  </si>
  <si>
    <t>Dataset pequeño (674 imágenes de fuentes mixtas, 3 clases). Validación hold-out 85/15 sin conjunto de prueba independiente ni validación en campo (Q5 = 1). Plataforma web adaptable al móvil, sin inferencia sin conexión (Q7 = 1). Sin evaluación con usuarios (Q8 = 1). Ni código ni datos públicos (Q9 = 1).</t>
  </si>
  <si>
    <t>REGLAS DE PUNTUACIÓN APLICADAS (operacionalización del protocolo v3)</t>
  </si>
  <si>
    <t>Dataset propio de campo (Pakistán), fotografiado con teléfono; división 80/20 estratificada y validación cruzada; compara seis modelos. Solo propone la app y analiza el tiempo real (Q7 = 1). No considera la IPO (Q8 = 0). Código y datos públicos.</t>
  </si>
  <si>
    <t>Estudios fitopatológicos</t>
  </si>
  <si>
    <t>Datos de laboratorio (PlantVillage), sin indicar el número de imágenes del subconjunto (Q3 = 1); prueba hold-out sin validación en campo. Compara solo con un modelo (Q6 = 1). Pruebas de usuario informales (Q8 = 1). Inconsistencia entre la clasificación binaria y una tabla de 39 clases (Q9 = 1).</t>
  </si>
  <si>
    <t>Q1 Objetivo</t>
  </si>
  <si>
    <t>2: objetivo o preguntas explícitos · 1: implícito o general · 0: ausente</t>
  </si>
  <si>
    <t>659 imágenes de campo anotadas por agrónomos; métricas sobre el conjunto de validación, sin prueba independiente (Q5 = 1); compara solo variantes de YOLOv8 (Q6 = 1). Prueba de campo con 50 usuarios y cuestionario (Q8 = 2). Datos disponibles a pedido (Q9 = 1).</t>
  </si>
  <si>
    <t>Q2 Patógeno</t>
  </si>
  <si>
    <t>2: especie identificada (molecularmente en el estudio o en un estudio previo citado) · 1: solo género, o especie solo por morfología · 0: no identificado</t>
  </si>
  <si>
    <t>Imágenes de campo y públicas; validación cruzada estratificada repetida; compara 10 modelos. Algunas clases tienen muy pocas imágenes (22–30 por clase). Diseño centrado en el usuario sin evaluación formal (Q8 = 1). Ni código ni datos completos públicos (Q9 = 1).</t>
  </si>
  <si>
    <t>Q3 Síntomas en tallo</t>
  </si>
  <si>
    <t>2: síntomas del tallo, ramas o tronco descritos con detalle (texto y figuras) · 1: mencionados brevemente o como objetivo secundario · 0: no se describen</t>
  </si>
  <si>
    <t>Q4 Aguacate</t>
  </si>
  <si>
    <t>2: estudio sobre aguacate · 1: extrapolable · 0: no aplicable</t>
  </si>
  <si>
    <t>Q5 Metodología</t>
  </si>
  <si>
    <t>2: muestreo, aislamiento, identificación y patogenicidad replicables · 1: descripción parcial o muestra mínima · 0: ausente</t>
  </si>
  <si>
    <t>Q6 Evidencia</t>
  </si>
  <si>
    <t>2: imágenes, mediciones, secuencias o estadística · 1: evidencia limitada (sin patogenicidad ni síntomas) · 0: ninguna</t>
  </si>
  <si>
    <t>Q7 Detección útil</t>
  </si>
  <si>
    <t>2: rasgos visuales o escala de severidad + confirmación de laboratorio · 1: solo uno de los dos · 0: ninguno</t>
  </si>
  <si>
    <t>Q8 Contexto</t>
  </si>
  <si>
    <t>2: lugar, fechas y condiciones · 1: solo el país · 0: no se indica</t>
  </si>
  <si>
    <t>Q9 Coherencia</t>
  </si>
  <si>
    <t>2: conclusiones respaldadas por los datos · 1: con inconsistencias o identificaciones tentativas · 0: incoherente</t>
  </si>
  <si>
    <t>Q10 Fuente</t>
  </si>
  <si>
    <t>2: revista revisada por pares, 2003–2026 · 1: sin revisión por pares clara · 0: fuera de periodo</t>
  </si>
  <si>
    <t>Estudios tecnológicos</t>
  </si>
  <si>
    <t>2: explícito · 1: general · 0: ausente</t>
  </si>
  <si>
    <t>Q2 Problema</t>
  </si>
  <si>
    <t>2: tarea (clasificación, detección o segmentación), cultivo y enfermedades definidos · 1: parcial · 0: ausente</t>
  </si>
  <si>
    <t>Q3 Dataset</t>
  </si>
  <si>
    <t>2: tamaño, clases y origen · 1: falta uno de los tres · 0: no se describe</t>
  </si>
  <si>
    <t>Q4 Modelo</t>
  </si>
  <si>
    <t>2: arquitectura e hiperparámetros de entrenamiento · 1: solo arquitectura · 0: ausente</t>
  </si>
  <si>
    <t>Q5 Métricas</t>
  </si>
  <si>
    <t>2: varias métricas con prueba independiente o validación cruzada · 1: una métrica o solo validación hold-out · 0: sin métricas</t>
  </si>
  <si>
    <t>Q6 Comparación</t>
  </si>
  <si>
    <t>2: compara con varios modelos u otros métodos · 1: con uno o con variantes del mismo modelo · 0: no compara</t>
  </si>
  <si>
    <t>Q7 App o dispositivo</t>
  </si>
  <si>
    <t>2: app móvil o dispositivo implementado y probado · 1: plataforma web o solo análisis de viabilidad · 0: no aborda</t>
  </si>
  <si>
    <t>Q8 IPO/UX</t>
  </si>
  <si>
    <t>2: evaluación formal con usuarios · 1: diseño centrado en el usuario o pruebas informales · 0: no considera</t>
  </si>
  <si>
    <t>Q9 Reproducible</t>
  </si>
  <si>
    <t>2: coherente y con código o datos públicos · 1: coherente sin datos o código, o con inconsistencias · 0: no reproducible</t>
  </si>
  <si>
    <t>2: revisada por pares, 2015–2026 · 1: dudosa · 0: fuera de periodo</t>
  </si>
  <si>
    <t>Se completa en la Actividad 6 del itinerario. Selección final razonada. Regla: Incluir si la calidad es Alta o Media y la alineación es Alta o Media; en otro caso, Reserva (se cita, pero no se usa en la síntesis). Columnas T–X solo para estudios tecnológicos.</t>
  </si>
  <si>
    <t>Tipo de estudio</t>
  </si>
  <si>
    <t>Aporte principal</t>
  </si>
  <si>
    <t>Relación con el objetivo</t>
  </si>
  <si>
    <t>Grupo de patógeno</t>
  </si>
  <si>
    <t>Especie(s) confirmada(s)</t>
  </si>
  <si>
    <t>Órgano afectado</t>
  </si>
  <si>
    <t>Enfermedad y síntomas en TALLO</t>
  </si>
  <si>
    <t>Método de detección / diagnóstico</t>
  </si>
  <si>
    <t>Decisión final (Incluir / Reserva)</t>
  </si>
  <si>
    <t>Justificación final</t>
  </si>
  <si>
    <t>Modelo / técnica de IA</t>
  </si>
  <si>
    <t>Dataset</t>
  </si>
  <si>
    <t>Métrica (resultado)</t>
  </si>
  <si>
    <t>Tipo de app / plataforma</t>
  </si>
  <si>
    <t>Principios IPO / UX</t>
  </si>
  <si>
    <t>País</t>
  </si>
  <si>
    <t>RESUMEN DE LA SELECCIÓN FINAL</t>
  </si>
  <si>
    <t>Primario: observación en vivero, identificación y patogenicidad</t>
  </si>
  <si>
    <t>Primer reporte de lesiones en el tallo y muerte descendente por Colletotrichum en aguacate y primera detección de C. perseae en Europa.</t>
  </si>
  <si>
    <t>RQ1 y RQ2: agente, síntomas del tallo y diferencia entre la lesión externa y la interna.</t>
  </si>
  <si>
    <t>Tallo y brotes de plantas jóvenes injertadas (fruto en inoculación)</t>
  </si>
  <si>
    <t>Lesiones necróticas en brotes y tallos, decoloración de la madera, estrías pardo-rojizas y muerte descendente desde el injerto (incidencia &gt; 45 %). La lesión externa medía 2,5–3,2 cm y la decoloración interna 12,0–12,6 cm.</t>
  </si>
  <si>
    <t>Inspección visual en vivero; aislamiento en PDA; filogenia multilocus (gapdh, chs-1, act, tub2, cal, gs, ApMat); patogenicidad con reaislamiento (Koch).</t>
  </si>
  <si>
    <t>Calidad alta y síntomas del tallo descritos con detalle; aporta la evidencia de que lo visible subestima el daño interno.</t>
  </si>
  <si>
    <t>—</t>
  </si>
  <si>
    <t>Italia (Sicilia)</t>
  </si>
  <si>
    <t>Estudios evaluados (elegibles)</t>
  </si>
  <si>
    <t>Primario: experimental de manejo (biocontrol)</t>
  </si>
  <si>
    <t>Los bioformulados redujeron entre 37 y 91 % las lesiones por C. perseae en ramillas; Trichoderma asperellum T34 redujo un 76,78 % la lesión interna en plantas.</t>
  </si>
  <si>
    <t>RQ1 y RQ2: confirma lesiones en ramillas y tallo por C. perseae; aporte secundario para el diagnóstico.</t>
  </si>
  <si>
    <t>C. perseae (aislamiento APIN16)</t>
  </si>
  <si>
    <t>Ramillas desprendidas, tallo de plantas en maceta y fruto</t>
  </si>
  <si>
    <t>Lesiones necróticas oscuras y alargadas en ramillas y tallos (Fig. 2); lesión interna media de 5,47 cm en el testigo.</t>
  </si>
  <si>
    <t>Medición destructiva de la lesión interna; ANOVA y comparación de medias.</t>
  </si>
  <si>
    <t>Calidad alta; es un estudio de manejo, pero documenta visualmente las lesiones del tallo.</t>
  </si>
  <si>
    <t>Italia y España (ensayo en invernadero en Málaga)</t>
  </si>
  <si>
    <t>Incluidos en la síntesis</t>
  </si>
  <si>
    <t>Primario: encuesta de campo, identificación y patogenicidad</t>
  </si>
  <si>
    <t>Incidencia de 33,89 % en 2537 árboles de 11 regiones; P. cinnamomi, F. solani y F. oxysporum causaron los cancros de rama más severos en inoculación.</t>
  </si>
  <si>
    <t>RQ1 y RQ2: agentes, región, síntomas en ramillas y ramas, e incidencia.</t>
  </si>
  <si>
    <t>C. gloeosporioides; F. solani; F. oxysporum; N. parvum; L. theobromae; N. rosae; P. cinnamomi y M. phaseolina (tentativas, por morfología)</t>
  </si>
  <si>
    <t>Copa, ramillas, ramas, hojas y raíz</t>
  </si>
  <si>
    <t>Muerte descendente de 1 a 5 ramillas en la copa con lesiones &gt; 10 cm en el 60–65 % de los árboles jóvenes; cancro de rama.</t>
  </si>
  <si>
    <t>Registro visual de síntomas; aislamiento en PDA; morfología; PCR con cebadores específicos e ITS; inoculación en ramas (área de lesión).</t>
  </si>
  <si>
    <t>Calidad alta; muestra amplia con síntomas del tallo y de las ramas.</t>
  </si>
  <si>
    <t>Turquía (Antalya)</t>
  </si>
  <si>
    <t>Primario: nota de enfermedad con identificación y patogenicidad</t>
  </si>
  <si>
    <t>Primer reporte mundial de cuatro hongos causantes de muerte descendente del aguacate.</t>
  </si>
  <si>
    <t>RQ1 y RQ2: nuevos agentes de la muerte descendente en Sudamérica.</t>
  </si>
  <si>
    <t>Tallo</t>
  </si>
  <si>
    <t>Marchitez, caída intensa de hojas, muerte descendente y necrosis interna; en plántulas, oscurecimiento del sistema vascular.</t>
  </si>
  <si>
    <t>Aislamiento de tallos sintomáticos; morfología; filogenia multilocus (TEF1-α, RPB2, β-tubulina, ACT, ITS y LSU); patogenicidad en plántulas y frutos.</t>
  </si>
  <si>
    <t>Calidad alta; identifica agentes del tallo, aunque la muestra es pequeña.</t>
  </si>
  <si>
    <t>Brasil (São Paulo)</t>
  </si>
  <si>
    <t>Primario: prospección de campo, identificación y patogenicidad</t>
  </si>
  <si>
    <t>La necrosis de ramas apareció en el 90 % de 40 huertos; primer reporte de L. brasiliensis y de N. cryptoaustrale/stellenboschiana en aguacate.</t>
  </si>
  <si>
    <t>RQ1 y RQ2: síntomas aéreos detallados y advertencia sobre síntomas parecidos causados por otros hongos.</t>
  </si>
  <si>
    <t>Ramas, tronco, inflorescencias y fruto</t>
  </si>
  <si>
    <t>Necrosis de ramas desde el ápice; cancros en ramas y tronco (7,5 % de los huertos) con exudado azucarado que seca en polvo blanco-amarillento; corteza agrietada, oscura y hundida; necrosis en cuña en el xilema.</t>
  </si>
  <si>
    <t>Aislamiento; ITS, tub2 y tef1 (y rpb2); patogenicidad en el tallo (herida e inoculación en el corte de poda).</t>
  </si>
  <si>
    <t>Calidad alta y descripción muy detallada de síntomas del tallo.</t>
  </si>
  <si>
    <t>España (Tenerife, Islas Canarias)</t>
  </si>
  <si>
    <t>En reserva (se citan, no entran en la síntesis)</t>
  </si>
  <si>
    <t>Botryosphaeriaceae, sobre todo Neofusicoccum (110 de 252 aislamientos), es la causa principal de la muerte descendente en el sur de España, en relación con la escasez de agua.</t>
  </si>
  <si>
    <t>RQ1 y RQ2: agentes, región y síntomas visibles e internos del tallo.</t>
  </si>
  <si>
    <t>N. parvum; N. luteum; N. australe; L. theobromae; Diaporthe foeniculina</t>
  </si>
  <si>
    <t>Ramas, haces vasculares y fruto</t>
  </si>
  <si>
    <t>Tejidos secos y necróticos desde las yemas florales hacia hojas, tallos y ramas; frutos momificados adheridos; haces vasculares rojizos; depósitos de perseitol en las ramas.</t>
  </si>
  <si>
    <t>Aislamiento en PDA; ITS, β-tubulina y EF1; UP-PCR; patogenicidad en plantas, tallos desprendidos y frutos con reidentificación (Koch).</t>
  </si>
  <si>
    <t>Calidad alta; síntomas del tallo ilustrados y muestra amplia.</t>
  </si>
  <si>
    <t>España (Málaga, Granada y Huelva)</t>
  </si>
  <si>
    <t>Alineación alta</t>
  </si>
  <si>
    <t>Primario: anuncio de genoma</t>
  </si>
  <si>
    <t>Genoma de 53 Mb de R. rugulosa aislado de cancros activos del tronco.</t>
  </si>
  <si>
    <t>RQ1: registra un agente del cancro del tronco en Latinoamérica.</t>
  </si>
  <si>
    <t>Tronco</t>
  </si>
  <si>
    <t>Lesiones activas de cancro del tronco; no se describen síntomas.</t>
  </si>
  <si>
    <t>Aislamiento en PDA; ITS; secuenciación del genoma (Illumina).</t>
  </si>
  <si>
    <t>Calidad media, pero alineación baja: no describe síntomas ni prueba la patogenicidad. Queda en reserva (se cita como antecedente regional, no entra en la síntesis).</t>
  </si>
  <si>
    <t>Colombia (Quindío)</t>
  </si>
  <si>
    <t>Alineación media</t>
  </si>
  <si>
    <t>Primario: prospección en vivero y huerto, identificación y patogenicidad</t>
  </si>
  <si>
    <t>22 especies en 430 muestras; coinfecciones frecuentes; advierte que Phytophthora y Botryosphaeriaceae pueden verse iguales en el tronco, lo que limita el diagnóstico por imagen con IA.</t>
  </si>
  <si>
    <t>RQ1, RQ2 y RQ5: agentes, síntomas diferenciales y límites del diagnóstico por imagen.</t>
  </si>
  <si>
    <t>N. australe; N. parvum; P. cinnamomi; P. palmivora; P. citrophthora; Colletotrichum spp. (22 especies)</t>
  </si>
  <si>
    <t>Hojas, fruto, ramas, tallo, cuello y raíz</t>
  </si>
  <si>
    <t>Cancros hundidos con exudado blanco duro y sector necrótico en V (Botryosphaeriaceae); necrosis oscura de corteza con exudado negruzco sin hundimiento (Phytophthora); cancros en el 86 % de los árboles.</t>
  </si>
  <si>
    <t>Aislamiento en medios no selectivos y selectivos; cebos para Phytophthora; ITS, tef1-α y gapdh; bioensayos por órgano.</t>
  </si>
  <si>
    <t>Calidad alta; es el estudio que mejor distingue visualmente los síntomas del tronco.</t>
  </si>
  <si>
    <t>Italia (Cerdeña y Sicilia)</t>
  </si>
  <si>
    <t>Alineación baja</t>
  </si>
  <si>
    <t>Primer estudio de cancros de rama en España: N. parvum fue el 50 % de 68 aislamientos y el más virulento.</t>
  </si>
  <si>
    <t>RQ1 y RQ2: agentes, distribución y síntomas de los cancros de rama.</t>
  </si>
  <si>
    <t>Ramas y ramillas</t>
  </si>
  <si>
    <t>Ramas secas, necrosis externa en ramillas, lesiones internas en ramas y lesiones externas con exudado (cancros pardo-rojizos con exudado blanco).</t>
  </si>
  <si>
    <t>Aislamiento en PDA; morfología; ITS, β-tubulina y EF1-α; patogenicidad y AUDPC.</t>
  </si>
  <si>
    <t>Calidad alta y síntomas de la rama ilustrados.</t>
  </si>
  <si>
    <t>España (Málaga)</t>
  </si>
  <si>
    <t>Comprobación: incluidos + reserva = evaluados</t>
  </si>
  <si>
    <t>Primario: experimental de manejo en campo y mesocosmos</t>
  </si>
  <si>
    <t>El ácido giberélico redujo un 28 % la incidencia de la muerte descendente; el estrés hídrico produjo la mayor severidad y los árboles de 1–2 años fueron los más susceptibles.</t>
  </si>
  <si>
    <t>RQ2: escala visual de severidad útil para etiquetar imágenes; factores de estrés.</t>
  </si>
  <si>
    <t>N. parvum; N. luteum; Lasiodiplodia sp. (inoculación)</t>
  </si>
  <si>
    <t>Ramillas florales y ramas</t>
  </si>
  <si>
    <t>Muerte descendente que inicia en las ramillas florales.</t>
  </si>
  <si>
    <t>Escala visual de 4 categorías (0; ≤ 15 %; 15–50 %; &gt; 50 %); aislamiento; trampas de esporas con qPCR.</t>
  </si>
  <si>
    <t>Calidad alta; estudio de manejo cuyo aporte principal para la app es la escala visual.</t>
  </si>
  <si>
    <t>Primario: experimental (método de inoculación)</t>
  </si>
  <si>
    <t>La necrosis interna del tallo avanza antes que la externa, con cualquier método de inoculación.</t>
  </si>
  <si>
    <t>RQ2 y RQ5: el síntoma visible subestima el avance de la infección.</t>
  </si>
  <si>
    <t>L. theobromae (aislamiento LA-VLCA3)</t>
  </si>
  <si>
    <t>Tallo de plantas jóvenes</t>
  </si>
  <si>
    <t>Necrosis externa e interna del tallo; la interna avanza antes y más lejos que la externa.</t>
  </si>
  <si>
    <t>Inoculación en el tallo medio y en el ápice; medición longitudinal de la necrosis externa e interna.</t>
  </si>
  <si>
    <t>Calidad alta y evidencia directa sobre lo que puede ver una fotografía.</t>
  </si>
  <si>
    <t>Perú (Piura)</t>
  </si>
  <si>
    <t>Primario: microbioma de la rizosfera y patogenicidad</t>
  </si>
  <si>
    <t>Además de los cambios en la rizosfera, Fusarium spp. y Lasiodiplodia sp. causaron necrosis en tallos de aguacate inoculados.</t>
  </si>
  <si>
    <t>RQ1 y RQ2: patógenos oportunistas capaces de necrosar el tallo; escala de necrosis 0–3.</t>
  </si>
  <si>
    <t>F. solani (Fusarium spp.); Lasiodiplodia sp.; Mortierella sp.; Scytalidium sp.</t>
  </si>
  <si>
    <t>Rizosfera y tallos desprendidos (ensayo)</t>
  </si>
  <si>
    <t>En tallos inoculados: necrosis vascular interna, necrosis externa y marchitez (escala 0–3).</t>
  </si>
  <si>
    <t>Secuenciación de 16S e ITS; aislamiento; ensayo en tallo desprendido con escala de necrosis 0–3; reaislamiento (Koch).</t>
  </si>
  <si>
    <t>Calidad alta; la información del tallo es un objetivo secundario.</t>
  </si>
  <si>
    <t>México (Veracruz)</t>
  </si>
  <si>
    <t>Primario: estudio observacional multivariado</t>
  </si>
  <si>
    <t>La incidencia del cancro y la muerte descendente (31–100 % en 9 de 16 huertos) se asoció a la edad, el volumen de copa y el diámetro del tronco; heladas y exceso de riego como factores secundarios.</t>
  </si>
  <si>
    <t>RQ1 y RQ2: agentes, factores predisponentes y escala visual de severidad.</t>
  </si>
  <si>
    <t>Dothiorella iberica; Diplodia mutila; D. seriata; D. pseudoseriata; N. australe; N. nonquaesitum; N. parvum</t>
  </si>
  <si>
    <t>Ramas, ramillas y tronco</t>
  </si>
  <si>
    <t>Cancros con corteza friable, protuberancias rugosas y exudados blanquecinos a pardos de perseitol; necrosis interna; ramillas con hojas pardas y frutos negros secos.</t>
  </si>
  <si>
    <t>Incidencia visual por huerto; escala de severidad 0–9; aislamiento en PDA y morfología (especies confirmadas por ADN en un estudio previo); PCA y PLS-DA.</t>
  </si>
  <si>
    <t>Calidad alta; aporta síntomas y una escala visual, aunque su foco son los factores predisponentes.</t>
  </si>
  <si>
    <t>Chile (Coquimbo a O’Higgins)</t>
  </si>
  <si>
    <t>Primario: desarrollo y evaluación de un sistema</t>
  </si>
  <si>
    <t>Arquitectura de votación secuencial en dos etapas desplegada en una plataforma web para diagnosticar antracnosis y roña.</t>
  </si>
  <si>
    <t>RQ3 y RQ4: arquitectura, métricas y despliegue (referencia de método; no aborda el tallo).</t>
  </si>
  <si>
    <t>Fruto (referencia de método)</t>
  </si>
  <si>
    <t>Clasificación de imágenes con aprendizaje profundo.</t>
  </si>
  <si>
    <t>Calidad alta; referencia de arquitectura y despliegue, no de enfermedades del tallo.</t>
  </si>
  <si>
    <t>Ensamble VotingBS de cinco CNN (ResNet50, InceptionV3, EfficientNetB2, VGG16 y DenseNet121) en dos etapas</t>
  </si>
  <si>
    <t>674 imágenes de fruto (351 de Kaggle y el resto de fuentes en línea verificadas); 3 clases</t>
  </si>
  <si>
    <t>Exactitud 99,03 %; precisión 98,92 %; exhaustividad 98,89 % (validación hold-out 85/15)</t>
  </si>
  <si>
    <t>Plataforma web adaptable al móvil; inferencia en servidor (Spring Boot)</t>
  </si>
  <si>
    <t>Interfaz para usuarios no técnicos; pruebas de aceptación con agricultores pendientes</t>
  </si>
  <si>
    <t>Perú</t>
  </si>
  <si>
    <t>Primario: comparación de modelos</t>
  </si>
  <si>
    <t>Con un conjunto propio de campo, VGG16 (98 %) y DETR (96 %) superaron a la CNN propia, RF y YOLO; YOLO y DETR son viables en tiempo real.</t>
  </si>
  <si>
    <t>RQ3: modelos, conjunto de campo y métricas; RQ4: viabilidad de una app.</t>
  </si>
  <si>
    <t>Hoja de trigo y guisante (referencia de método)</t>
  </si>
  <si>
    <t>Clasificación y detección con aprendizaje profundo.</t>
  </si>
  <si>
    <t>Calidad alta; referencia de comparación de modelos con datos de campo.</t>
  </si>
  <si>
    <t>RF, VGG16, CNN propia, YOLOv5, YOLOv8 y DETR</t>
  </si>
  <si>
    <t>Conjunto propio de campo fotografiado con teléfono de 64 MP: trigo (4 clases) y guisante (3180 imágenes, 4 clases)</t>
  </si>
  <si>
    <t>Exactitud: VGG16 98 %, DETR 96 %, CNN 92 %, RF 89 %, YOLOv8 87 %, YOLOv5 80 % (80/20 y validación cruzada)</t>
  </si>
  <si>
    <t>Propone una app móvil; analiza el uso en tiempo real</t>
  </si>
  <si>
    <t>No considera la IPO</t>
  </si>
  <si>
    <t>Pakistán</t>
  </si>
  <si>
    <t>App móvil con CNN, porcentaje de severidad y mapa Grad-CAM, con respuesta de unos 2 s.</t>
  </si>
  <si>
    <t>RQ3 y RQ4: modelo, métricas, app, inferencia y presentación del resultado.</t>
  </si>
  <si>
    <t>Hoja (referencia de método)</t>
  </si>
  <si>
    <t>Clasificación con CNN y estimación de severidad con OpenCV.</t>
  </si>
  <si>
    <t>Calidad alta; referencia directa de app móvil de diagnóstico.</t>
  </si>
  <si>
    <t>CNN propia (PyTorch); severidad con OpenCV; Grad-CAM</t>
  </si>
  <si>
    <t>Subconjunto binario (sano / enfermo) de PlantVillage</t>
  </si>
  <si>
    <t>Exactitud 92,06 %; precisión, exhaustividad y F1 ≈ 90 % (prueba hold-out)</t>
  </si>
  <si>
    <t>App React Native; inferencia en servidor Flask (~2 s); inferencia sin conexión con TensorFlow Lite como trabajo futuro</t>
  </si>
  <si>
    <t>Muestra la enfermedad, la confianza, la severidad y el Grad-CAM; pruebas de usuario informales</t>
  </si>
  <si>
    <t>India</t>
  </si>
  <si>
    <t>App de ciencia ciudadana para iOS y Android con detección por YOLOv8, probada en campo con agricultores y agrónomos.</t>
  </si>
  <si>
    <t>RQ3 y RQ4: detección, despliegue y evaluación con usuarios.</t>
  </si>
  <si>
    <t>Hoja de tomate (referencia de método)</t>
  </si>
  <si>
    <t>Detección de objetos con YOLOv8.</t>
  </si>
  <si>
    <t>Calidad alta; único estudio con evaluación formal de usuarios.</t>
  </si>
  <si>
    <t>YOLOv8 (variantes n a x; se eligió YOLOv8l)</t>
  </si>
  <si>
    <t>659 imágenes de campo e invernadero (EDEN Library) con 8710 anotaciones</t>
  </si>
  <si>
    <t>mAP50 70,2 % (conjunto de validación)</t>
  </si>
  <si>
    <t>App iOS y Android; sistema de apoyo a la decisión en servidor (API REST, PostgreSQL, Keycloak)</t>
  </si>
  <si>
    <t>Prueba de campo con 50 usuarios (20 agrónomos y 30 agricultores) y cuestionario de experiencia</t>
  </si>
  <si>
    <t>Grecia y España</t>
  </si>
  <si>
    <t>Marco de tres capas con app Android para 19 enfermedades de cinco cultivos; el desempeño varió de 44 a 95 % según el cultivo.</t>
  </si>
  <si>
    <t>RQ3 y RQ4: modelos, validación cruzada, app y dependencia de Internet.</t>
  </si>
  <si>
    <t>Clasificación con CNN y VGG-16.</t>
  </si>
  <si>
    <t>Calidad alta; referencia de app móvil y de sus limitaciones de conectividad.</t>
  </si>
  <si>
    <t>CNN y VGG-16 optimizado (10 modelos)</t>
  </si>
  <si>
    <t>Imágenes de campo (Ludhiana) y públicas; 19 clases de enfermedad en 5 cultivos</t>
  </si>
  <si>
    <t>Exactitud de 44,15 % (arroz) a 95,23 % (maíz), con validación cruzada estratificada repetida</t>
  </si>
  <si>
    <t>App Android (Flutter) de tres capas; inferencia en servidor; requiere Internet estable</t>
  </si>
  <si>
    <t>Diseño centrado en el usuario (análisis de necesidades, interfaz sencilla y pruebas), sin evaluación formal</t>
  </si>
  <si>
    <t>India (Punjab)</t>
  </si>
  <si>
    <t>Tabla A. Síntesis fitopatológica de los estudios incluidos (RQ1 y RQ2): agentes, síntomas en el tallo y detección</t>
  </si>
  <si>
    <t>Autor [ref]</t>
  </si>
  <si>
    <t>Estudio</t>
  </si>
  <si>
    <t>Patógeno (género / especie)</t>
  </si>
  <si>
    <t>Enfermedad</t>
  </si>
  <si>
    <t>Síntomas en tallo</t>
  </si>
  <si>
    <t>Método de detección</t>
  </si>
  <si>
    <t>Calidad</t>
  </si>
  <si>
    <t>Vecchio, Martino, et al. (2026) [A0003]</t>
  </si>
  <si>
    <t>Lesión del tallo y muerte descendente (vivero)</t>
  </si>
  <si>
    <t>20/20</t>
  </si>
  <si>
    <t>Vecchio, Arrebola, et al. (2026) [A0006]</t>
  </si>
  <si>
    <t>Antracnosis de ramillas y tallo</t>
  </si>
  <si>
    <t>17/20</t>
  </si>
  <si>
    <t>Çalış et al. (2024) [A0009]</t>
  </si>
  <si>
    <t>Muerte descendente y cancro de rama</t>
  </si>
  <si>
    <t>Silva et al. (2025) [A0014]</t>
  </si>
  <si>
    <t>18/20</t>
  </si>
  <si>
    <t>Hernández et al. (2023) [A0015]</t>
  </si>
  <si>
    <t>Muerte descendente y cancro de rama y tronco</t>
  </si>
  <si>
    <t>Crespo et al. (2026) [A0016]</t>
  </si>
  <si>
    <t>Linaldeddu et al. (2026) [A0018]</t>
  </si>
  <si>
    <t>Cancro de rama y tallo; necrosis de corteza</t>
  </si>
  <si>
    <t>Arjona-Girona et al. (2019) [A0022]</t>
  </si>
  <si>
    <t>Guirado-Manzano et al. (2026) [A0024]</t>
  </si>
  <si>
    <t>19/20</t>
  </si>
  <si>
    <t>Rodríguez-Gálvez et al. (2025) [A0025]</t>
  </si>
  <si>
    <t>Necrosis del tallo</t>
  </si>
  <si>
    <t>Solís-García et al. (2021) [A0031]</t>
  </si>
  <si>
    <t>Necrosis del tallo (inoculación)</t>
  </si>
  <si>
    <t>Valencia et al. (2022) [A0038]</t>
  </si>
  <si>
    <t>Nota. Elaboración propia a partir de la hoja Articulos_finales. A0017 (Rincón López et al., 2026) queda en reserva y no se incluye en la tabla.</t>
  </si>
  <si>
    <t>Tabla B. Síntesis tecnológica de los estudios incluidos (RQ3 y RQ4): modelos, datos, métricas, plataforma e IPO</t>
  </si>
  <si>
    <t>Plataforma e inferencia</t>
  </si>
  <si>
    <t>IPO / UX</t>
  </si>
  <si>
    <t>Moreano et al. (2026) [T0002]</t>
  </si>
  <si>
    <t>16/20</t>
  </si>
  <si>
    <t>Iqbal et al. (2026) [T0009]</t>
  </si>
  <si>
    <t>Ramana Reddy et al. (2025) [T0010]</t>
  </si>
  <si>
    <t>Christakakis et al. (2024) [T0011]</t>
  </si>
  <si>
    <t>Kochhar et al. (2026) [T0013]</t>
  </si>
  <si>
    <t>Nota. Elaboración propia. Los estudios tecnológicos son referencia de método: trabajan con hojas o frutos de otros cultivos y no con el tallo del aguacate.</t>
  </si>
  <si>
    <t>Tabla C. Descripción de los estudios incluidos (calculada a partir de Articulos_finales)</t>
  </si>
  <si>
    <t>Característica</t>
  </si>
  <si>
    <t>Valor</t>
  </si>
  <si>
    <t>Estudios</t>
  </si>
  <si>
    <t>Fitopatológicos incluidos</t>
  </si>
  <si>
    <t>A0003, A0006, A0009, A0014, A0015, A0016, A0018, A0022, A0024, A0025, A0031, A0038</t>
  </si>
  <si>
    <t>Tecnológicos incluidos</t>
  </si>
  <si>
    <t>T0002, T0009, T0010, T0011, T0013</t>
  </si>
  <si>
    <t>Base: Scopus</t>
  </si>
  <si>
    <t>Base: ScienceDirect</t>
  </si>
  <si>
    <t>Base: Springer Link</t>
  </si>
  <si>
    <t>Publicados 2019–2023</t>
  </si>
  <si>
    <t>Publicados 2024–2026</t>
  </si>
  <si>
    <t>País: España</t>
  </si>
  <si>
    <t>A0006, A0015, A0016, A0022, A0024, T0011</t>
  </si>
  <si>
    <t>País: Italia</t>
  </si>
  <si>
    <t>A0003, A0006, A0018</t>
  </si>
  <si>
    <t>País: Turquía</t>
  </si>
  <si>
    <t>País: Brasil</t>
  </si>
  <si>
    <t>País: Perú</t>
  </si>
  <si>
    <t>A0025, T0002</t>
  </si>
  <si>
    <t>País: Chile</t>
  </si>
  <si>
    <t>País: México</t>
  </si>
  <si>
    <t>País: India</t>
  </si>
  <si>
    <t>T0010, T0013</t>
  </si>
  <si>
    <t>País: Pakistán</t>
  </si>
  <si>
    <t>País: Grecia</t>
  </si>
  <si>
    <t>País: Ecuador</t>
  </si>
  <si>
    <t>Ningún estudio</t>
  </si>
  <si>
    <t>Nota. Un estudio puede contar en dos países (Vecchio, Arrebola, et al., 2026: Italia y España; Christakakis et al., 2024: Grecia y España).</t>
  </si>
  <si>
    <t>Tabla D. Frecuencia de los grupos de patógenos en los estudios fitopatológicos incluidos</t>
  </si>
  <si>
    <t>Grupo / género</t>
  </si>
  <si>
    <t>N.º de estudios</t>
  </si>
  <si>
    <t>Botryosphaeriaceae (Neofusicoccum, Lasiodiplodia, Diplodia, Dothiorella)</t>
  </si>
  <si>
    <t>A0009, A0015, A0016, A0018, A0022, A0024, A0025, A0031, A0038</t>
  </si>
  <si>
    <t xml:space="preserve">   de ellos, con N. parvum</t>
  </si>
  <si>
    <t>A0009, A0015, A0016, A0018, A0022, A0024, A0038</t>
  </si>
  <si>
    <t>Colletotrichum</t>
  </si>
  <si>
    <t>A0003, A0006, A0009, A0018, A0022</t>
  </si>
  <si>
    <t>Phytophthora</t>
  </si>
  <si>
    <t>A0009, A0018</t>
  </si>
  <si>
    <t>Fusarium</t>
  </si>
  <si>
    <t>A0009, A0031</t>
  </si>
  <si>
    <t>Nectriaceae y otros (Nectria, Neocosmospora, Cytospora, Neopestalotiopsis, Diaporthe)</t>
  </si>
  <si>
    <t>A0014, A0016</t>
  </si>
  <si>
    <t>Nota. Elaboración propia a partir de la columna "Especie(s) confirmada(s)". Un estudio puede reportar varios grupos.</t>
  </si>
  <si>
    <t>Diagrama de flujo PRISMA 2020 – se calcula a partir de las demás hojas</t>
  </si>
  <si>
    <t>Actividad 7 del itinerario. Se calcula a partir de las demás hojas; no escribas en esta hoja. Figura final: SLR_SmartAgriculture/04_PRISMA/PRISMA_2020_diagrama_v2.png</t>
  </si>
  <si>
    <t>Identificación</t>
  </si>
  <si>
    <t>→</t>
  </si>
  <si>
    <t>Conteos auxiliares</t>
  </si>
  <si>
    <t>COMPROBACIONES DEL FLUJO</t>
  </si>
  <si>
    <t>↓</t>
  </si>
  <si>
    <t>sc</t>
  </si>
  <si>
    <t>Identificados − duplicados − otros motivos = cribados</t>
  </si>
  <si>
    <t>Cribado</t>
  </si>
  <si>
    <t>sd</t>
  </si>
  <si>
    <t>Cribados − excluidos = informes buscados</t>
  </si>
  <si>
    <t>sp</t>
  </si>
  <si>
    <t>Suma de motivos de exclusión en el cribado = excluidos</t>
  </si>
  <si>
    <t>id</t>
  </si>
  <si>
    <t>Buscados − no recuperados = evaluados</t>
  </si>
  <si>
    <t>uni</t>
  </si>
  <si>
    <t>Evaluados − excluidos (incluye reserva) = incluidos</t>
  </si>
  <si>
    <t>dup_in</t>
  </si>
  <si>
    <t>Fitopatológicos + tecnológicos = incluidos</t>
  </si>
  <si>
    <t>dup_x</t>
  </si>
  <si>
    <t>Duplicados internos coinciden con Cadenas_de_busqueda</t>
  </si>
  <si>
    <t>Incluidos</t>
  </si>
  <si>
    <t>dup</t>
  </si>
  <si>
    <t>otros</t>
  </si>
  <si>
    <t>Diagrama de flujo basado en la declaración PRISMA 2020, aplicada en revisiones del área (Lin et al., 2026; Majdalawieh et al., 2025; Odounfa et al., 2024; Sajitha et al., 2024). En la identificación, n corresponde a los registros exportados; los totales de resultados por base no se registraron (limitación declarada).</t>
  </si>
  <si>
    <t>cri</t>
  </si>
  <si>
    <t>exc</t>
  </si>
  <si>
    <t>e_fr</t>
  </si>
  <si>
    <t>e_ra</t>
  </si>
  <si>
    <t>e_ta</t>
  </si>
  <si>
    <t>e_en</t>
  </si>
  <si>
    <t>e_ia</t>
  </si>
  <si>
    <t>bus</t>
  </si>
  <si>
    <t>norec</t>
  </si>
  <si>
    <t>eva</t>
  </si>
  <si>
    <t>t_fr</t>
  </si>
  <si>
    <t>t_ta</t>
  </si>
  <si>
    <t>t_en</t>
  </si>
  <si>
    <t>res</t>
  </si>
  <si>
    <t>inc</t>
  </si>
  <si>
    <t>inc_f</t>
  </si>
  <si>
    <t>inc_t</t>
  </si>
  <si>
    <t>t_ra</t>
  </si>
  <si>
    <t>t_tot</t>
  </si>
  <si>
    <t>Actividad 6 del itinerario. Métricas calculadas a partir de las demás hojas; los textos resumen la extracción de los estudios incluidos.</t>
  </si>
  <si>
    <t>Métrica</t>
  </si>
  <si>
    <t>Definición</t>
  </si>
  <si>
    <t>Seleccionados</t>
  </si>
  <si>
    <t>Reserva</t>
  </si>
  <si>
    <t>Duplicados y revisiones</t>
  </si>
  <si>
    <t>Número total de registros únicos por base</t>
  </si>
  <si>
    <t>Registros únicos por base (78 exportados − 10 duplicados dentro de la misma base).</t>
  </si>
  <si>
    <t>Número de duplicados entre bases</t>
  </si>
  <si>
    <t>Duplicados entre bases (además, 10 duplicados dentro de la misma base, depurados al consolidar).</t>
  </si>
  <si>
    <t>IEEE Xplore (sin acceso)</t>
  </si>
  <si>
    <t>Número de revisiones/surveys/mapping/meta-análisis excluidos</t>
  </si>
  <si>
    <t>Exclusiones por ser estudios de revisión.</t>
  </si>
  <si>
    <t>Web of Science (sin acceso)</t>
  </si>
  <si>
    <t>Número de estudios primarios únicos que pasan al cribado</t>
  </si>
  <si>
    <t>Estudios primarios tras retirar duplicados y revisiones.</t>
  </si>
  <si>
    <t>Número de artículos que pasaron el tamizaje</t>
  </si>
  <si>
    <t>Registros que pasan a evaluación a texto completo.</t>
  </si>
  <si>
    <t>Número de artículos de alta calidad</t>
  </si>
  <si>
    <t>Artículos con 16 a 20 puntos.</t>
  </si>
  <si>
    <t>Total</t>
  </si>
  <si>
    <t>Número final de artículos seleccionados</t>
  </si>
  <si>
    <t>Estudios elegibles tras el texto completo (incluidos más reserva).</t>
  </si>
  <si>
    <t>Número de estudios incluidos en la síntesis</t>
  </si>
  <si>
    <t>Calidad alta o media y alineación alta o media (regla del protocolo v3).</t>
  </si>
  <si>
    <t>Principales patrones encontrados</t>
  </si>
  <si>
    <t>De los 78 registros exportados, 18 estudios resultaron elegibles: 17 se incluyen en la síntesis (12 fitopatológicos y 5 tecnológicos) y 1 queda en reserva (A0017). Los estudios fitopatológicos son recientes (8 de 12 publicados entre 2024 y 2026) y proceden sobre todo de la cuenca mediterránea (España, Italia y Turquía) y, en menor medida, de Sudamérica (Brasil, Perú y Chile) y México; ninguno se realizó en Ecuador. La detección se basa en la inspección visual y en el aislamiento e identificación en laboratorio; ninguno usa análisis de imágenes ni IA. Los estudios tecnológicos trabajan con hojas o frutos, procesan la imagen en un servidor, ninguno funciona sin conexión y solo uno evaluó formalmente a sus usuarios (T0011).</t>
  </si>
  <si>
    <t>Principales grupos de patógenos identificados</t>
  </si>
  <si>
    <t>Botryosphaeriaceae es el grupo dominante (9 de 12 estudios), con Neofusicoccum parvum como la especie más reportada (7 estudios); le siguen Colletotrichum (5; C. perseae y C. gloeosporioides, sobre todo en viveros y ramillas), Phytophthora (2; P. cinnamomi, P. palmivora y P. citrophthora en el cuello y la corteza del tronco), Fusarium (2) y hongos de Nectriaceae y otras familias (2). Las coinfecciones son frecuentes (A0018, A0022). Rugonectria rugulosa solo aparece en el estudio en reserva (A0017, Colombia).</t>
  </si>
  <si>
    <t>Principales enfermedades y síntomas en tallo identificados</t>
  </si>
  <si>
    <t>Externos (fotografiables): cancros hundidos en ramillas, ramas y tronco con exudado rojizo que seca en polvo blanco (perseitol); corteza oscura, agrietada o friable con protuberancias; muerte descendente desde el ápice, con hojas pardas adheridas y frutos negros momificados; lesiones necróticas oscuras que se inician en el injerto (vivero); y necrosis oscura de corteza con exudado negruzco, sin hundimiento (Phytophthora). Internos (solo con corte): necrosis en cuña o V hacia el xilema y haces vasculares rojizos. La necrosis interna avanza antes y más lejos que la externa (A0003, A0025).</t>
  </si>
  <si>
    <t>Vacíos detectados en la literatura</t>
  </si>
  <si>
    <t>1) Ningún estudio fitopatológico aplica el diagnóstico por imagen o IA al tallo; la detección depende del laboratorio. 2) Los síntomas se superponen entre patógenos y pueden verse iguales en el tronco (A0018), por lo que la imagen no identifica la especie. 3) No hay conjuntos de imágenes de tallos de aguacate ni estudios de Ecuador. 4) Los sistemas tecnológicos no se validaron en campo con un conjunto de prueba independiente, dependen del servidor o de Internet y casi no evalúan a sus usuarios. 5) Solo dos estudios ofrecen escalas visuales de severidad del tallo o la rama (A0024 y A0038).</t>
  </si>
  <si>
    <t>Recomendación final</t>
  </si>
  <si>
    <t>Desarrollar una app que clasifique tipos de síntoma del tallo (no especies), con las clases preliminares C0–C6 del estado del arte, validadas con la tutora. Construir un conjunto propio de imágenes de campo, con tomas de cerca y de la rama completa, metadatos y una escala de severidad adaptada de A0024 y A0038. Entrenar modelos ligeros con aprendizaje por transferencia, ejecutados en el teléfono sin conexión, y evaluarlos con métricas por clase e imágenes de campo nuevas. Mostrar la confianza y una explicación del resultado, advertir que la confirmación requiere laboratorio y evaluar la app con agricultores y técnicos.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</si>
</sst>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x14ac:knownFonts="1">
    <font>
      <sz val="11"/>
      <color theme="1"/>
      <name val="Calibri"/>
      <family val="2"/>
      <scheme val="minor"/>
    </font>
    <font>
      <b/>
      <sz val="12"/>
      <color rgb="FFFFFFFF"/>
      <name val="Calibri"/>
      <family val="2"/>
    </font>
    <font>
      <b/>
      <sz val="11"/>
      <color rgb="FFFFFFFF"/>
      <name val="Calibri"/>
      <family val="2"/>
    </font>
    <font>
      <sz val="10"/>
      <color rgb="FF000000"/>
      <name val="Calibri"/>
      <family val="2"/>
    </font>
    <font>
      <sz val="10"/>
      <name val="Calibri"/>
      <family val="2"/>
    </font>
    <font>
      <b/>
      <sz val="14"/>
      <color rgb="FF1F3864"/>
      <name val="Calibri"/>
      <family val="2"/>
    </font>
    <font>
      <i/>
      <sz val="10"/>
      <color rgb="FF595959"/>
      <name val="Calibri"/>
      <family val="2"/>
    </font>
    <font>
      <b/>
      <sz val="11"/>
      <color rgb="FF1F3864"/>
      <name val="Calibri"/>
      <family val="2"/>
    </font>
    <font>
      <sz val="10"/>
      <name val="Calibri"/>
      <family val="2"/>
    </font>
    <font>
      <b/>
      <i/>
      <sz val="11"/>
      <color rgb="FFC00000"/>
      <name val="Calibri"/>
      <family val="2"/>
    </font>
    <font>
      <b/>
      <sz val="11"/>
      <color rgb="FFFFFFFF"/>
      <name val="Calibri"/>
      <family val="2"/>
    </font>
    <font>
      <b/>
      <sz val="10"/>
      <color rgb="FF1F3864"/>
      <name val="Calibri"/>
      <family val="2"/>
    </font>
    <font>
      <b/>
      <sz val="10"/>
      <color rgb="FFC00000"/>
      <name val="Calibri"/>
      <family val="2"/>
    </font>
    <font>
      <sz val="10"/>
      <name val="Calibri"/>
      <family val="2"/>
    </font>
    <font>
      <sz val="10"/>
      <name val="Calibri"/>
      <family val="2"/>
    </font>
    <font>
      <sz val="10"/>
      <name val="Calibri"/>
      <family val="2"/>
    </font>
    <font>
      <b/>
      <sz val="10"/>
      <color rgb="FF1F3864"/>
      <name val="Calibri"/>
      <family val="2"/>
    </font>
    <font>
      <b/>
      <sz val="13"/>
      <color rgb="FFC55A11"/>
      <name val="Calibri"/>
      <family val="2"/>
    </font>
    <font>
      <b/>
      <sz val="11"/>
      <color rgb="FF1F3864"/>
      <name val="Calibri"/>
      <family val="2"/>
    </font>
    <font>
      <sz val="10"/>
      <name val="Calibri"/>
      <family val="2"/>
    </font>
    <font>
      <b/>
      <sz val="11"/>
      <color rgb="FF1F3864"/>
      <name val="Calibri"/>
      <family val="2"/>
    </font>
    <font>
      <b/>
      <sz val="9"/>
      <name val="Arial"/>
      <family val="2"/>
    </font>
    <font>
      <sz val="9"/>
      <name val="Arial"/>
      <family val="2"/>
    </font>
    <font>
      <b/>
      <sz val="9"/>
      <color rgb="FFFFFFFF"/>
      <name val="Arial"/>
      <family val="2"/>
    </font>
    <font>
      <b/>
      <sz val="14"/>
      <color rgb="FF1F3864"/>
      <name val="Arial"/>
      <family val="2"/>
    </font>
    <font>
      <b/>
      <sz val="10"/>
      <color rgb="FFFFFFFF"/>
      <name val="Arial"/>
      <family val="2"/>
    </font>
    <font>
      <sz val="8"/>
      <color rgb="FF7F7F7F"/>
      <name val="Arial"/>
      <family val="2"/>
    </font>
    <font>
      <sz val="10"/>
      <name val="Arial"/>
      <family val="2"/>
    </font>
    <font>
      <i/>
      <sz val="8"/>
      <name val="Arial"/>
      <family val="2"/>
    </font>
    <font>
      <i/>
      <sz val="9"/>
      <color rgb="FF9C5700"/>
      <name val="Arial"/>
      <family val="2"/>
    </font>
    <font>
      <b/>
      <sz val="13"/>
      <color rgb="FF1F3864"/>
      <name val="Arial"/>
      <family val="2"/>
    </font>
    <font>
      <b/>
      <sz val="10"/>
      <color rgb="FFFFFFFF"/>
      <name val="Arial"/>
      <family val="2"/>
    </font>
    <font>
      <b/>
      <sz val="9"/>
      <name val="Arial"/>
      <family val="2"/>
    </font>
    <font>
      <sz val="9"/>
      <name val="Arial"/>
      <family val="2"/>
    </font>
    <font>
      <sz val="10"/>
      <name val="Arial"/>
      <family val="2"/>
    </font>
    <font>
      <b/>
      <sz val="11"/>
      <name val="Calibri"/>
      <family val="2"/>
    </font>
    <font>
      <sz val="11"/>
      <name val="Calibri"/>
      <family val="2"/>
    </font>
    <font>
      <b/>
      <sz val="11"/>
      <color rgb="FFFFFFFF"/>
      <name val="Calibri"/>
      <family val="2"/>
    </font>
    <font>
      <b/>
      <sz val="11"/>
      <name val="Calibri"/>
      <family val="2"/>
    </font>
    <font>
      <b/>
      <sz val="11"/>
      <color rgb="FFFFFFFF"/>
      <name val="Calibri"/>
      <family val="2"/>
    </font>
    <font>
      <b/>
      <sz val="11"/>
      <color rgb="FFFFFFFF"/>
      <name val="Calibri"/>
      <family val="2"/>
    </font>
    <font>
      <b/>
      <sz val="11"/>
      <name val="Calibri"/>
      <family val="2"/>
    </font>
    <font>
      <b/>
      <sz val="11"/>
      <color rgb="FFFFFFFF"/>
      <name val="Calibri"/>
      <family val="2"/>
    </font>
    <font>
      <b/>
      <sz val="11"/>
      <name val="Calibri"/>
      <family val="2"/>
    </font>
    <font>
      <b/>
      <sz val="11"/>
      <color rgb="FFFFFFFF"/>
      <name val="Calibri"/>
      <family val="2"/>
    </font>
    <font>
      <b/>
      <sz val="11"/>
      <name val="Calibri"/>
      <family val="2"/>
    </font>
    <font>
      <b/>
      <sz val="12"/>
      <color rgb="FF1F4E78"/>
      <name val="Calibri"/>
      <family val="2"/>
    </font>
    <font>
      <i/>
      <sz val="9"/>
      <name val="Calibri"/>
      <family val="2"/>
    </font>
    <font>
      <b/>
      <sz val="11"/>
      <color rgb="FFFFFFFF"/>
      <name val="Calibri"/>
      <family val="2"/>
    </font>
    <font>
      <b/>
      <sz val="11"/>
      <name val="Calibri"/>
      <family val="2"/>
    </font>
  </fonts>
  <fills count="34">
    <fill>
      <patternFill patternType="none"/>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1F3864"/>
      </patternFill>
    </fill>
    <fill>
      <patternFill patternType="solid">
        <fgColor theme="4" tint="0.79998168889431442"/>
        <bgColor indexed="64"/>
      </patternFill>
    </fill>
    <fill>
      <patternFill patternType="solid">
        <fgColor rgb="FFD9E1F2"/>
      </patternFill>
    </fill>
    <fill>
      <patternFill patternType="solid">
        <fgColor rgb="FF1F3864"/>
      </patternFill>
    </fill>
    <fill>
      <patternFill patternType="solid">
        <fgColor rgb="FFFFFFFF"/>
      </patternFill>
    </fill>
    <fill>
      <patternFill patternType="solid">
        <fgColor rgb="FFF2F2F2"/>
      </patternFill>
    </fill>
    <fill>
      <patternFill patternType="solid">
        <fgColor rgb="FFE2EFDA"/>
      </patternFill>
    </fill>
    <fill>
      <patternFill patternType="solid">
        <fgColor rgb="FF1F3864"/>
      </patternFill>
    </fill>
    <fill>
      <patternFill patternType="solid">
        <fgColor rgb="FFD9E2F3"/>
      </patternFill>
    </fill>
    <fill>
      <patternFill patternType="solid">
        <fgColor rgb="FFC6EFCE"/>
      </patternFill>
    </fill>
    <fill>
      <patternFill patternType="solid">
        <fgColor rgb="FFEDEDED"/>
      </patternFill>
    </fill>
    <fill>
      <patternFill patternType="solid">
        <fgColor rgb="FFD9E2F3"/>
      </patternFill>
    </fill>
    <fill>
      <patternFill patternType="solid">
        <fgColor rgb="FFFFF2CC"/>
      </patternFill>
    </fill>
    <fill>
      <patternFill patternType="solid">
        <fgColor rgb="FF1F4E78"/>
      </patternFill>
    </fill>
    <fill>
      <patternFill patternType="solid">
        <fgColor rgb="FF1F4E78"/>
      </patternFill>
    </fill>
    <fill>
      <patternFill patternType="solid">
        <fgColor rgb="FFFFF2CC"/>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
      <patternFill patternType="solid">
        <fgColor rgb="FFD9E2F3"/>
      </patternFill>
    </fill>
    <fill>
      <patternFill patternType="solid">
        <fgColor rgb="FF1F4E78"/>
      </patternFill>
    </fill>
    <fill>
      <patternFill patternType="solid">
        <fgColor rgb="FFFFF2CC"/>
      </patternFill>
    </fill>
  </fills>
  <borders count="18">
    <border>
      <left/>
      <right/>
      <top/>
      <bottom/>
      <diagonal/>
    </border>
    <border>
      <left/>
      <right/>
      <top/>
      <bottom style="thin">
        <color rgb="FFB7C9E2"/>
      </bottom>
      <diagonal/>
    </border>
    <border>
      <left/>
      <right/>
      <top/>
      <bottom style="thin">
        <color rgb="FFB7C9E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6"/>
  </cellStyleXfs>
  <cellXfs count="129">
    <xf numFmtId="0" fontId="0" fillId="0" borderId="0" xfId="0" applyBorder="1"/>
    <xf numFmtId="0" fontId="2" fillId="4" borderId="1" xfId="0" applyFont="1" applyFill="1" applyBorder="1" applyAlignment="1">
      <alignment horizontal="center" vertical="center" wrapText="1"/>
    </xf>
    <xf numFmtId="0" fontId="3" fillId="3" borderId="1" xfId="0" applyFont="1" applyFill="1" applyBorder="1" applyAlignment="1">
      <alignment vertical="top" wrapText="1"/>
    </xf>
    <xf numFmtId="1" fontId="3" fillId="3" borderId="1" xfId="0" applyNumberFormat="1" applyFont="1" applyFill="1" applyBorder="1" applyAlignment="1">
      <alignment vertical="top" wrapText="1"/>
    </xf>
    <xf numFmtId="0" fontId="0" fillId="0" borderId="1" xfId="0" applyBorder="1"/>
    <xf numFmtId="0" fontId="0" fillId="5" borderId="1" xfId="0" applyFill="1" applyBorder="1" applyAlignment="1">
      <alignment horizontal="center" vertical="center" wrapText="1"/>
    </xf>
    <xf numFmtId="0" fontId="3" fillId="0" borderId="1" xfId="0" applyFont="1" applyBorder="1" applyAlignment="1">
      <alignment vertical="top" wrapText="1"/>
    </xf>
    <xf numFmtId="1" fontId="3" fillId="0" borderId="1" xfId="0" applyNumberFormat="1" applyFont="1" applyBorder="1" applyAlignment="1">
      <alignment vertical="top" wrapText="1"/>
    </xf>
    <xf numFmtId="0" fontId="0" fillId="0" borderId="1" xfId="0" applyBorder="1" applyAlignment="1">
      <alignment horizontal="center" vertical="center" wrapText="1"/>
    </xf>
    <xf numFmtId="0" fontId="2" fillId="4" borderId="0" xfId="0" applyFont="1" applyFill="1" applyBorder="1" applyAlignment="1">
      <alignment horizontal="center" vertical="center" wrapText="1"/>
    </xf>
    <xf numFmtId="1" fontId="0" fillId="0" borderId="0" xfId="0" applyNumberFormat="1" applyBorder="1"/>
    <xf numFmtId="0" fontId="10" fillId="7" borderId="3" xfId="0" applyFont="1" applyFill="1" applyBorder="1" applyAlignment="1">
      <alignment horizontal="center" vertical="center" wrapText="1"/>
    </xf>
    <xf numFmtId="0" fontId="13" fillId="0" borderId="0" xfId="0" applyFont="1" applyBorder="1" applyAlignment="1">
      <alignment vertical="top" wrapText="1"/>
    </xf>
    <xf numFmtId="0" fontId="13" fillId="0" borderId="1" xfId="0" applyFont="1" applyBorder="1"/>
    <xf numFmtId="0" fontId="14" fillId="0" borderId="0" xfId="0" applyFont="1" applyBorder="1" applyAlignment="1">
      <alignment vertical="top" wrapText="1"/>
    </xf>
    <xf numFmtId="0" fontId="0" fillId="8" borderId="0" xfId="0" applyFill="1" applyBorder="1"/>
    <xf numFmtId="0" fontId="15" fillId="0" borderId="0" xfId="0" applyFont="1" applyBorder="1" applyAlignment="1">
      <alignment vertical="top" wrapText="1"/>
    </xf>
    <xf numFmtId="0" fontId="10" fillId="4" borderId="2" xfId="0" applyFont="1" applyFill="1" applyBorder="1" applyAlignment="1">
      <alignment horizontal="center" vertical="center" wrapText="1"/>
    </xf>
    <xf numFmtId="0" fontId="19" fillId="0" borderId="0" xfId="0" applyFont="1" applyBorder="1" applyAlignment="1">
      <alignment vertical="top" wrapText="1"/>
    </xf>
    <xf numFmtId="0" fontId="20" fillId="9" borderId="0" xfId="0" applyFont="1" applyFill="1" applyBorder="1"/>
    <xf numFmtId="0" fontId="19" fillId="0" borderId="0" xfId="0" applyFont="1" applyBorder="1"/>
    <xf numFmtId="0" fontId="20" fillId="0" borderId="0" xfId="0" applyFont="1" applyBorder="1"/>
    <xf numFmtId="0" fontId="22" fillId="0" borderId="4" xfId="0" applyFont="1" applyBorder="1" applyAlignment="1">
      <alignment vertical="top" wrapText="1"/>
    </xf>
    <xf numFmtId="0" fontId="21" fillId="0" borderId="0" xfId="0" applyFont="1" applyBorder="1"/>
    <xf numFmtId="0" fontId="23" fillId="10" borderId="4" xfId="0" applyFont="1" applyFill="1" applyBorder="1" applyAlignment="1">
      <alignment horizontal="center" vertical="center" wrapText="1"/>
    </xf>
    <xf numFmtId="0" fontId="24" fillId="0" borderId="0" xfId="0" applyFont="1" applyBorder="1"/>
    <xf numFmtId="0" fontId="25" fillId="10" borderId="0" xfId="0" applyFont="1" applyFill="1" applyBorder="1" applyAlignment="1">
      <alignment horizontal="center" vertical="center" wrapText="1"/>
    </xf>
    <xf numFmtId="0" fontId="27" fillId="11" borderId="5" xfId="0" applyFont="1" applyFill="1" applyBorder="1" applyAlignment="1">
      <alignment horizontal="center" vertical="center" wrapText="1"/>
    </xf>
    <xf numFmtId="0" fontId="24" fillId="0" borderId="0" xfId="0" applyFont="1" applyBorder="1" applyAlignment="1">
      <alignment horizontal="center" vertical="center"/>
    </xf>
    <xf numFmtId="0" fontId="27" fillId="12" borderId="5" xfId="0" applyFont="1" applyFill="1" applyBorder="1" applyAlignment="1">
      <alignment horizontal="center" vertical="center" wrapText="1"/>
    </xf>
    <xf numFmtId="0" fontId="26" fillId="0" borderId="0" xfId="0" applyFont="1" applyBorder="1"/>
    <xf numFmtId="0" fontId="27" fillId="13" borderId="5" xfId="0" applyFont="1" applyFill="1" applyBorder="1" applyAlignment="1">
      <alignment horizontal="center" vertical="center" wrapText="1"/>
    </xf>
    <xf numFmtId="0" fontId="17" fillId="0" borderId="0" xfId="0" applyFont="1" applyBorder="1"/>
    <xf numFmtId="0" fontId="30" fillId="0" borderId="0" xfId="0" applyFont="1" applyBorder="1"/>
    <xf numFmtId="0" fontId="31" fillId="14" borderId="7" xfId="0" applyFont="1" applyFill="1" applyBorder="1"/>
    <xf numFmtId="0" fontId="34" fillId="0" borderId="7" xfId="0" applyFont="1" applyBorder="1" applyAlignment="1">
      <alignment vertical="top" wrapText="1"/>
    </xf>
    <xf numFmtId="0" fontId="34" fillId="16" borderId="7" xfId="0" applyFont="1" applyFill="1" applyBorder="1" applyAlignment="1">
      <alignment vertical="top" wrapText="1"/>
    </xf>
    <xf numFmtId="0" fontId="34" fillId="17" borderId="7" xfId="0" applyFont="1" applyFill="1" applyBorder="1" applyAlignment="1">
      <alignment vertical="top" wrapText="1"/>
    </xf>
    <xf numFmtId="0" fontId="30" fillId="0" borderId="6" xfId="0" applyFont="1"/>
    <xf numFmtId="0" fontId="0" fillId="0" borderId="6" xfId="0"/>
    <xf numFmtId="0" fontId="32" fillId="15" borderId="7" xfId="0" applyFont="1" applyFill="1" applyBorder="1" applyAlignment="1">
      <alignment vertical="top" wrapText="1"/>
    </xf>
    <xf numFmtId="0" fontId="33" fillId="0" borderId="7" xfId="0" applyFont="1" applyBorder="1" applyAlignment="1">
      <alignment vertical="top" wrapText="1"/>
    </xf>
    <xf numFmtId="0" fontId="11" fillId="0" borderId="6" xfId="0" applyFont="1" applyAlignment="1">
      <alignment vertical="top" wrapText="1"/>
    </xf>
    <xf numFmtId="0" fontId="8" fillId="0" borderId="6" xfId="0" applyFont="1" applyAlignment="1">
      <alignment vertical="top" wrapText="1"/>
    </xf>
    <xf numFmtId="0" fontId="12" fillId="0" borderId="6" xfId="0" applyFont="1"/>
    <xf numFmtId="0" fontId="6" fillId="0" borderId="6" xfId="0" applyFont="1" applyAlignment="1">
      <alignment vertical="top" wrapText="1"/>
    </xf>
    <xf numFmtId="0" fontId="7" fillId="0" borderId="6" xfId="0" applyFont="1" applyAlignment="1">
      <alignment vertical="top" wrapText="1"/>
    </xf>
    <xf numFmtId="0" fontId="4" fillId="0" borderId="6" xfId="0" applyFont="1" applyAlignment="1">
      <alignment vertical="top" wrapText="1"/>
    </xf>
    <xf numFmtId="0" fontId="9" fillId="0" borderId="6" xfId="0" applyFont="1"/>
    <xf numFmtId="0" fontId="17" fillId="0" borderId="6" xfId="0" applyFont="1"/>
    <xf numFmtId="0" fontId="18" fillId="0" borderId="6" xfId="0" applyFont="1" applyAlignment="1">
      <alignment vertical="top" wrapText="1"/>
    </xf>
    <xf numFmtId="0" fontId="15" fillId="0" borderId="6" xfId="0" applyFont="1" applyAlignment="1">
      <alignment vertical="top" wrapText="1"/>
    </xf>
    <xf numFmtId="0" fontId="18" fillId="0" borderId="6" xfId="0" applyFont="1"/>
    <xf numFmtId="0" fontId="0" fillId="0" borderId="6" xfId="0" applyAlignment="1">
      <alignment horizontal="center" vertical="top"/>
    </xf>
    <xf numFmtId="0" fontId="16" fillId="0" borderId="6" xfId="0" applyFont="1" applyAlignment="1">
      <alignment vertical="top" wrapText="1"/>
    </xf>
    <xf numFmtId="0" fontId="29" fillId="0" borderId="0" xfId="0" applyFont="1" applyBorder="1"/>
    <xf numFmtId="0" fontId="36" fillId="0" borderId="8" xfId="0" applyFont="1" applyBorder="1" applyAlignment="1">
      <alignment vertical="top" wrapText="1"/>
    </xf>
    <xf numFmtId="0" fontId="19" fillId="0" borderId="8" xfId="0" applyFont="1" applyBorder="1" applyAlignment="1">
      <alignment vertical="center" wrapText="1"/>
    </xf>
    <xf numFmtId="0" fontId="0" fillId="0" borderId="8" xfId="0" applyBorder="1" applyAlignment="1">
      <alignment vertical="center" wrapText="1"/>
    </xf>
    <xf numFmtId="0" fontId="35" fillId="19" borderId="8" xfId="0" applyFont="1" applyFill="1" applyBorder="1" applyAlignment="1">
      <alignment vertical="center" wrapText="1"/>
    </xf>
    <xf numFmtId="0" fontId="21" fillId="0" borderId="8" xfId="0" applyFont="1" applyBorder="1" applyAlignment="1">
      <alignment vertical="center" wrapText="1"/>
    </xf>
    <xf numFmtId="0" fontId="37" fillId="20" borderId="8" xfId="0" applyFont="1" applyFill="1" applyBorder="1" applyAlignment="1">
      <alignment vertical="center" wrapText="1"/>
    </xf>
    <xf numFmtId="0" fontId="0" fillId="20" borderId="8" xfId="0" applyFill="1" applyBorder="1" applyAlignment="1">
      <alignment vertical="center" wrapText="1"/>
    </xf>
    <xf numFmtId="0" fontId="39" fillId="21" borderId="10" xfId="0" applyFont="1" applyFill="1" applyBorder="1" applyAlignment="1">
      <alignment vertical="center" wrapText="1"/>
    </xf>
    <xf numFmtId="0" fontId="0" fillId="21" borderId="10" xfId="0" applyFill="1" applyBorder="1" applyAlignment="1">
      <alignment vertical="center" wrapText="1"/>
    </xf>
    <xf numFmtId="0" fontId="0" fillId="0" borderId="10" xfId="0" applyBorder="1" applyAlignment="1">
      <alignment vertical="center" wrapText="1"/>
    </xf>
    <xf numFmtId="0" fontId="38" fillId="22" borderId="10" xfId="0" applyFont="1" applyFill="1" applyBorder="1" applyAlignment="1">
      <alignment vertical="center" wrapText="1"/>
    </xf>
    <xf numFmtId="0" fontId="38" fillId="8" borderId="0" xfId="0" applyFont="1" applyFill="1" applyBorder="1" applyAlignment="1">
      <alignment horizontal="center" vertical="center"/>
    </xf>
    <xf numFmtId="0" fontId="35" fillId="0" borderId="0" xfId="0" applyFont="1" applyBorder="1" applyAlignment="1">
      <alignment vertical="center" wrapText="1"/>
    </xf>
    <xf numFmtId="0" fontId="40" fillId="23" borderId="11" xfId="0" applyFont="1" applyFill="1" applyBorder="1" applyAlignment="1">
      <alignment vertical="center" wrapText="1"/>
    </xf>
    <xf numFmtId="0" fontId="0" fillId="23" borderId="11" xfId="0" applyFill="1" applyBorder="1" applyAlignment="1">
      <alignment vertical="center" wrapText="1"/>
    </xf>
    <xf numFmtId="0" fontId="0" fillId="0" borderId="11" xfId="0" applyBorder="1" applyAlignment="1">
      <alignment vertical="center" wrapText="1"/>
    </xf>
    <xf numFmtId="0" fontId="41" fillId="24" borderId="11" xfId="0" applyFont="1" applyFill="1" applyBorder="1" applyAlignment="1">
      <alignment vertical="center" wrapText="1"/>
    </xf>
    <xf numFmtId="0" fontId="41" fillId="25" borderId="11" xfId="0" applyFont="1" applyFill="1" applyBorder="1" applyAlignment="1">
      <alignment vertical="center" wrapText="1"/>
    </xf>
    <xf numFmtId="0" fontId="0" fillId="25" borderId="11" xfId="0" applyFill="1" applyBorder="1" applyAlignment="1">
      <alignment vertical="center" wrapText="1"/>
    </xf>
    <xf numFmtId="0" fontId="42" fillId="26" borderId="12" xfId="0" applyFont="1" applyFill="1" applyBorder="1" applyAlignment="1">
      <alignment vertical="center" wrapText="1"/>
    </xf>
    <xf numFmtId="0" fontId="0" fillId="0" borderId="12" xfId="0" applyBorder="1" applyAlignment="1">
      <alignment vertical="center" wrapText="1"/>
    </xf>
    <xf numFmtId="164" fontId="43" fillId="27" borderId="12" xfId="0" applyNumberFormat="1" applyFont="1" applyFill="1" applyBorder="1" applyAlignment="1">
      <alignment vertical="center" wrapText="1"/>
    </xf>
    <xf numFmtId="1" fontId="43" fillId="27" borderId="12" xfId="0" applyNumberFormat="1" applyFont="1" applyFill="1" applyBorder="1" applyAlignment="1">
      <alignment vertical="center" wrapText="1"/>
    </xf>
    <xf numFmtId="0" fontId="0" fillId="0" borderId="14" xfId="0" applyBorder="1" applyAlignment="1">
      <alignment vertical="top" wrapText="1"/>
    </xf>
    <xf numFmtId="0" fontId="23" fillId="10" borderId="15" xfId="0" applyFont="1" applyFill="1" applyBorder="1" applyAlignment="1">
      <alignment horizontal="center" vertical="center" wrapText="1"/>
    </xf>
    <xf numFmtId="0" fontId="22" fillId="0" borderId="14" xfId="0" applyFont="1" applyBorder="1" applyAlignment="1">
      <alignment vertical="top" wrapText="1"/>
    </xf>
    <xf numFmtId="0" fontId="22" fillId="0" borderId="14" xfId="0" applyFont="1" applyBorder="1" applyAlignment="1">
      <alignment horizontal="center" vertical="top" wrapText="1"/>
    </xf>
    <xf numFmtId="0" fontId="0" fillId="0" borderId="14" xfId="0" applyBorder="1" applyAlignment="1">
      <alignment horizontal="center" vertical="top"/>
    </xf>
    <xf numFmtId="0" fontId="44" fillId="29" borderId="16" xfId="0" applyFont="1" applyFill="1" applyBorder="1" applyAlignment="1">
      <alignment vertical="center" wrapText="1"/>
    </xf>
    <xf numFmtId="0" fontId="0" fillId="29" borderId="16" xfId="0" applyFill="1" applyBorder="1" applyAlignment="1">
      <alignment vertical="center" wrapText="1"/>
    </xf>
    <xf numFmtId="0" fontId="0" fillId="0" borderId="16" xfId="0" applyBorder="1" applyAlignment="1">
      <alignment vertical="center" wrapText="1"/>
    </xf>
    <xf numFmtId="0" fontId="45" fillId="30" borderId="16" xfId="0" applyFont="1" applyFill="1" applyBorder="1" applyAlignment="1">
      <alignment vertical="center" wrapText="1"/>
    </xf>
    <xf numFmtId="0" fontId="45" fillId="31" borderId="16" xfId="0" applyFont="1" applyFill="1" applyBorder="1" applyAlignment="1">
      <alignment vertical="center" wrapText="1"/>
    </xf>
    <xf numFmtId="0" fontId="44" fillId="29" borderId="16" xfId="0" applyFont="1" applyFill="1" applyBorder="1" applyAlignment="1">
      <alignment horizontal="center" vertical="center" wrapText="1"/>
    </xf>
    <xf numFmtId="0" fontId="45" fillId="0" borderId="16" xfId="0" applyFont="1" applyBorder="1" applyAlignment="1">
      <alignment vertical="top" wrapText="1"/>
    </xf>
    <xf numFmtId="0" fontId="0" fillId="0" borderId="16" xfId="0" applyBorder="1" applyAlignment="1">
      <alignment vertical="top" wrapText="1"/>
    </xf>
    <xf numFmtId="0" fontId="45" fillId="30" borderId="16" xfId="0" applyFont="1" applyFill="1" applyBorder="1" applyAlignment="1">
      <alignment vertical="top" wrapText="1"/>
    </xf>
    <xf numFmtId="0" fontId="45" fillId="0" borderId="1" xfId="0" applyFont="1" applyBorder="1"/>
    <xf numFmtId="0" fontId="48" fillId="32" borderId="17" xfId="0" applyFont="1" applyFill="1" applyBorder="1" applyAlignment="1">
      <alignment vertical="center" wrapText="1"/>
    </xf>
    <xf numFmtId="0" fontId="0" fillId="32" borderId="17" xfId="0" applyFill="1" applyBorder="1" applyAlignment="1">
      <alignment vertical="center" wrapText="1"/>
    </xf>
    <xf numFmtId="0" fontId="0" fillId="0" borderId="17" xfId="0" applyBorder="1" applyAlignment="1">
      <alignment vertical="center" wrapText="1"/>
    </xf>
    <xf numFmtId="0" fontId="49" fillId="33" borderId="17" xfId="0" applyFont="1" applyFill="1" applyBorder="1" applyAlignment="1">
      <alignment vertical="center" wrapText="1"/>
    </xf>
    <xf numFmtId="0" fontId="28" fillId="0" borderId="0" xfId="0" applyFont="1" applyBorder="1" applyAlignment="1">
      <alignment vertical="top" wrapText="1"/>
    </xf>
    <xf numFmtId="0" fontId="41" fillId="24" borderId="11" xfId="0" applyFont="1" applyFill="1" applyBorder="1" applyAlignment="1">
      <alignment horizontal="right" vertical="center" wrapText="1"/>
    </xf>
    <xf numFmtId="0" fontId="38" fillId="22" borderId="10" xfId="0" applyFont="1" applyFill="1" applyBorder="1" applyAlignment="1">
      <alignment horizontal="right" vertical="center" wrapText="1"/>
    </xf>
    <xf numFmtId="0" fontId="45" fillId="30" borderId="16" xfId="0" applyFont="1" applyFill="1" applyBorder="1" applyAlignment="1">
      <alignment horizontal="right" vertical="center" wrapText="1"/>
    </xf>
    <xf numFmtId="0" fontId="1" fillId="2" borderId="6" xfId="0" applyFont="1" applyFill="1" applyAlignment="1">
      <alignment vertical="center"/>
    </xf>
    <xf numFmtId="0" fontId="0" fillId="0" borderId="0" xfId="0" applyBorder="1"/>
    <xf numFmtId="0" fontId="29" fillId="3" borderId="6" xfId="0" applyFont="1" applyFill="1" applyAlignment="1">
      <alignment vertical="top" wrapText="1"/>
    </xf>
    <xf numFmtId="0" fontId="0" fillId="8" borderId="6" xfId="0" applyFill="1" applyAlignment="1">
      <alignment horizontal="left" vertical="center" wrapText="1"/>
    </xf>
    <xf numFmtId="0" fontId="31" fillId="14" borderId="6" xfId="0" applyFont="1" applyFill="1" applyAlignment="1">
      <alignment vertical="top" wrapText="1"/>
    </xf>
    <xf numFmtId="0" fontId="0" fillId="0" borderId="17" xfId="0" applyBorder="1" applyAlignment="1">
      <alignment vertical="center" wrapText="1"/>
    </xf>
    <xf numFmtId="0" fontId="0" fillId="0" borderId="9" xfId="0" applyBorder="1"/>
    <xf numFmtId="0" fontId="0" fillId="0" borderId="13" xfId="0" applyBorder="1"/>
    <xf numFmtId="0" fontId="0" fillId="0" borderId="6" xfId="0" applyAlignment="1">
      <alignment vertical="center" wrapText="1"/>
    </xf>
    <xf numFmtId="0" fontId="19" fillId="0" borderId="17" xfId="0" applyFont="1" applyBorder="1" applyAlignment="1">
      <alignment vertical="center" wrapText="1"/>
    </xf>
    <xf numFmtId="0" fontId="5" fillId="0" borderId="6" xfId="0" applyFont="1"/>
    <xf numFmtId="0" fontId="22" fillId="0" borderId="17" xfId="0" applyFont="1" applyBorder="1" applyAlignment="1">
      <alignment vertical="center" wrapText="1"/>
    </xf>
    <xf numFmtId="0" fontId="35" fillId="18" borderId="17" xfId="0" applyFont="1" applyFill="1" applyBorder="1"/>
    <xf numFmtId="0" fontId="35" fillId="18" borderId="17" xfId="0" applyFont="1" applyFill="1" applyBorder="1" applyAlignment="1">
      <alignment horizontal="center" vertical="center" wrapText="1"/>
    </xf>
    <xf numFmtId="0" fontId="35" fillId="18" borderId="17" xfId="0" applyFont="1" applyFill="1" applyBorder="1" applyAlignment="1">
      <alignment vertical="top" wrapText="1"/>
    </xf>
    <xf numFmtId="0" fontId="29" fillId="0" borderId="6" xfId="0" applyFont="1"/>
    <xf numFmtId="0" fontId="0" fillId="26" borderId="17" xfId="0" applyFill="1" applyBorder="1" applyAlignment="1">
      <alignment vertical="center" wrapText="1"/>
    </xf>
    <xf numFmtId="0" fontId="43" fillId="28" borderId="17" xfId="0" applyFont="1" applyFill="1" applyBorder="1"/>
    <xf numFmtId="0" fontId="42" fillId="26" borderId="17" xfId="0" applyFont="1" applyFill="1" applyBorder="1"/>
    <xf numFmtId="0" fontId="47" fillId="0" borderId="6" xfId="0" applyFont="1" applyAlignment="1">
      <alignment vertical="top" wrapText="1"/>
    </xf>
    <xf numFmtId="0" fontId="46" fillId="0" borderId="6" xfId="0" applyFont="1"/>
    <xf numFmtId="0" fontId="25" fillId="10" borderId="6" xfId="0" applyFont="1" applyFill="1" applyAlignment="1">
      <alignment horizontal="center" vertical="center" textRotation="90" wrapText="1"/>
    </xf>
    <xf numFmtId="0" fontId="1" fillId="2" borderId="6" xfId="0" applyFont="1" applyFill="1"/>
    <xf numFmtId="0" fontId="2" fillId="4" borderId="2" xfId="0" applyFont="1" applyFill="1" applyBorder="1" applyAlignment="1">
      <alignment horizontal="left" vertical="center"/>
    </xf>
    <xf numFmtId="0" fontId="0" fillId="0" borderId="2" xfId="0" applyBorder="1"/>
    <xf numFmtId="0" fontId="22" fillId="6" borderId="2" xfId="0" applyFont="1" applyFill="1" applyBorder="1" applyAlignment="1">
      <alignment vertical="top" wrapText="1"/>
    </xf>
    <xf numFmtId="0" fontId="22" fillId="3" borderId="2" xfId="0" applyFont="1" applyFill="1" applyBorder="1" applyAlignment="1">
      <alignment vertical="top" wrapText="1"/>
    </xf>
  </cellXfs>
  <cellStyles count="1">
    <cellStyle name="Normal" xfId="0" builtinId="0"/>
  </cellStyles>
  <dxfs count="5">
    <dxf>
      <fill>
        <patternFill>
          <bgColor rgb="FFFDE9E7"/>
        </patternFill>
      </fill>
    </dxf>
    <dxf>
      <fill>
        <patternFill>
          <bgColor rgb="FFFFF2CC"/>
        </patternFill>
      </fill>
    </dxf>
    <dxf>
      <fill>
        <patternFill>
          <bgColor rgb="FFEAF6EA"/>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opLeftCell="A10" zoomScale="81" workbookViewId="0"/>
  </sheetViews>
  <sheetFormatPr baseColWidth="10" defaultColWidth="8.88671875" defaultRowHeight="14.4" x14ac:dyDescent="0.3"/>
  <cols>
    <col min="1" max="1" width="24" customWidth="1"/>
    <col min="2" max="2" width="26" customWidth="1"/>
    <col min="3" max="3" width="62" customWidth="1"/>
    <col min="4" max="4" width="15.21875" customWidth="1"/>
  </cols>
  <sheetData>
    <row r="1" spans="1:4" ht="16.8" customHeight="1" x14ac:dyDescent="0.3">
      <c r="A1" s="33" t="s">
        <v>0</v>
      </c>
    </row>
    <row r="3" spans="1:4" x14ac:dyDescent="0.3">
      <c r="A3" s="34" t="s">
        <v>1</v>
      </c>
      <c r="B3" s="34" t="s">
        <v>2</v>
      </c>
      <c r="C3" s="34" t="s">
        <v>3</v>
      </c>
      <c r="D3" s="34" t="s">
        <v>4</v>
      </c>
    </row>
    <row r="4" spans="1:4" ht="39.6" customHeight="1" x14ac:dyDescent="0.3">
      <c r="A4" s="35" t="s">
        <v>5</v>
      </c>
      <c r="B4" s="35" t="s">
        <v>6</v>
      </c>
      <c r="C4" s="35" t="s">
        <v>7</v>
      </c>
      <c r="D4" s="36" t="s">
        <v>8</v>
      </c>
    </row>
    <row r="5" spans="1:4" ht="52.8" customHeight="1" x14ac:dyDescent="0.3">
      <c r="A5" s="35" t="s">
        <v>9</v>
      </c>
      <c r="B5" s="35" t="s">
        <v>10</v>
      </c>
      <c r="C5" s="35" t="s">
        <v>11</v>
      </c>
      <c r="D5" s="37" t="s">
        <v>8</v>
      </c>
    </row>
    <row r="6" spans="1:4" ht="52.8" customHeight="1" x14ac:dyDescent="0.3">
      <c r="A6" s="35" t="s">
        <v>12</v>
      </c>
      <c r="B6" s="35" t="s">
        <v>10</v>
      </c>
      <c r="C6" s="35" t="s">
        <v>13</v>
      </c>
      <c r="D6" s="37" t="s">
        <v>8</v>
      </c>
    </row>
    <row r="7" spans="1:4" ht="52.8" customHeight="1" x14ac:dyDescent="0.3">
      <c r="A7" s="35" t="s">
        <v>14</v>
      </c>
      <c r="B7" s="35" t="s">
        <v>15</v>
      </c>
      <c r="C7" s="35" t="s">
        <v>16</v>
      </c>
      <c r="D7" s="37" t="s">
        <v>17</v>
      </c>
    </row>
    <row r="8" spans="1:4" ht="52.8" customHeight="1" x14ac:dyDescent="0.3">
      <c r="A8" s="35" t="s">
        <v>18</v>
      </c>
      <c r="B8" s="35" t="s">
        <v>15</v>
      </c>
      <c r="C8" s="35" t="s">
        <v>19</v>
      </c>
      <c r="D8" s="37" t="s">
        <v>17</v>
      </c>
    </row>
    <row r="9" spans="1:4" ht="52.8" customHeight="1" x14ac:dyDescent="0.3">
      <c r="A9" s="35" t="s">
        <v>20</v>
      </c>
      <c r="B9" s="35" t="s">
        <v>15</v>
      </c>
      <c r="C9" s="35" t="s">
        <v>21</v>
      </c>
      <c r="D9" s="37" t="s">
        <v>17</v>
      </c>
    </row>
    <row r="10" spans="1:4" ht="52.8" customHeight="1" x14ac:dyDescent="0.3">
      <c r="A10" s="35" t="s">
        <v>22</v>
      </c>
      <c r="B10" s="35" t="s">
        <v>23</v>
      </c>
      <c r="C10" s="35" t="s">
        <v>24</v>
      </c>
      <c r="D10" s="37" t="s">
        <v>17</v>
      </c>
    </row>
    <row r="11" spans="1:4" ht="52.8" customHeight="1" x14ac:dyDescent="0.3">
      <c r="A11" s="35" t="s">
        <v>25</v>
      </c>
      <c r="B11" s="35" t="s">
        <v>26</v>
      </c>
      <c r="C11" s="35" t="s">
        <v>27</v>
      </c>
      <c r="D11" s="37" t="s">
        <v>17</v>
      </c>
    </row>
    <row r="12" spans="1:4" ht="52.8" customHeight="1" x14ac:dyDescent="0.3">
      <c r="A12" s="35" t="s">
        <v>28</v>
      </c>
      <c r="B12" s="35" t="s">
        <v>26</v>
      </c>
      <c r="C12" s="35" t="s">
        <v>29</v>
      </c>
      <c r="D12" s="37" t="s">
        <v>17</v>
      </c>
    </row>
    <row r="13" spans="1:4" ht="52.8" customHeight="1" x14ac:dyDescent="0.3">
      <c r="A13" s="35" t="s">
        <v>30</v>
      </c>
      <c r="B13" s="35" t="s">
        <v>26</v>
      </c>
      <c r="C13" s="35" t="s">
        <v>31</v>
      </c>
      <c r="D13" s="37" t="s">
        <v>17</v>
      </c>
    </row>
    <row r="14" spans="1:4" ht="52.8" customHeight="1" x14ac:dyDescent="0.3">
      <c r="A14" s="35" t="s">
        <v>32</v>
      </c>
      <c r="B14" s="35" t="s">
        <v>33</v>
      </c>
      <c r="C14" s="35" t="s">
        <v>34</v>
      </c>
      <c r="D14" s="37" t="s">
        <v>17</v>
      </c>
    </row>
    <row r="16" spans="1:4" ht="52.8" customHeight="1" x14ac:dyDescent="0.3">
      <c r="A16" s="35" t="s">
        <v>35</v>
      </c>
      <c r="B16" s="35" t="s">
        <v>36</v>
      </c>
      <c r="C16" s="35" t="s">
        <v>37</v>
      </c>
      <c r="D16" s="35" t="s">
        <v>38</v>
      </c>
    </row>
    <row r="17" spans="1:4" ht="52.8" x14ac:dyDescent="0.3">
      <c r="A17" s="35" t="s">
        <v>35</v>
      </c>
      <c r="B17" s="35" t="s">
        <v>39</v>
      </c>
      <c r="C17" s="35" t="s">
        <v>40</v>
      </c>
      <c r="D17" s="35"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8"/>
  <sheetViews>
    <sheetView zoomScale="115" workbookViewId="0">
      <selection activeCell="B39" sqref="B39"/>
    </sheetView>
  </sheetViews>
  <sheetFormatPr baseColWidth="10" defaultColWidth="8.88671875" defaultRowHeight="14.4" x14ac:dyDescent="0.3"/>
  <cols>
    <col min="1" max="1" width="26" customWidth="1"/>
    <col min="2" max="2" width="120" customWidth="1"/>
  </cols>
  <sheetData>
    <row r="1" spans="1:2" ht="18" customHeight="1" x14ac:dyDescent="0.3">
      <c r="A1" s="38" t="s">
        <v>42</v>
      </c>
      <c r="B1" s="39"/>
    </row>
    <row r="2" spans="1:2" ht="30" customHeight="1" x14ac:dyDescent="0.3">
      <c r="A2" s="106" t="s">
        <v>43</v>
      </c>
      <c r="B2" s="103"/>
    </row>
    <row r="3" spans="1:2" x14ac:dyDescent="0.3">
      <c r="A3" s="40" t="s">
        <v>44</v>
      </c>
      <c r="B3" s="41" t="s">
        <v>45</v>
      </c>
    </row>
    <row r="4" spans="1:2" ht="41.4" customHeight="1" x14ac:dyDescent="0.3">
      <c r="A4" s="40" t="s">
        <v>46</v>
      </c>
      <c r="B4" s="41" t="s">
        <v>47</v>
      </c>
    </row>
    <row r="5" spans="1:2" ht="27.6" customHeight="1" x14ac:dyDescent="0.3">
      <c r="A5" s="40" t="s">
        <v>48</v>
      </c>
      <c r="B5" s="41" t="s">
        <v>49</v>
      </c>
    </row>
    <row r="6" spans="1:2" ht="27.6" customHeight="1" x14ac:dyDescent="0.3">
      <c r="A6" s="40" t="s">
        <v>50</v>
      </c>
      <c r="B6" s="41" t="s">
        <v>51</v>
      </c>
    </row>
    <row r="7" spans="1:2" x14ac:dyDescent="0.3">
      <c r="A7" s="40" t="s">
        <v>52</v>
      </c>
      <c r="B7" s="41" t="s">
        <v>53</v>
      </c>
    </row>
    <row r="8" spans="1:2" x14ac:dyDescent="0.3">
      <c r="A8" s="40" t="s">
        <v>54</v>
      </c>
      <c r="B8" s="41" t="s">
        <v>55</v>
      </c>
    </row>
    <row r="9" spans="1:2" x14ac:dyDescent="0.3">
      <c r="A9" s="40" t="s">
        <v>56</v>
      </c>
      <c r="B9" s="41" t="s">
        <v>57</v>
      </c>
    </row>
    <row r="10" spans="1:2" x14ac:dyDescent="0.3">
      <c r="A10" s="40" t="s">
        <v>58</v>
      </c>
      <c r="B10" s="41" t="s">
        <v>59</v>
      </c>
    </row>
    <row r="11" spans="1:2" ht="27.6" customHeight="1" x14ac:dyDescent="0.3">
      <c r="A11" s="40" t="s">
        <v>60</v>
      </c>
      <c r="B11" s="41" t="s">
        <v>61</v>
      </c>
    </row>
    <row r="12" spans="1:2" ht="22.8" customHeight="1" x14ac:dyDescent="0.3">
      <c r="A12" s="40" t="s">
        <v>62</v>
      </c>
      <c r="B12" s="41" t="s">
        <v>63</v>
      </c>
    </row>
    <row r="13" spans="1:2" x14ac:dyDescent="0.3">
      <c r="A13" s="40" t="s">
        <v>64</v>
      </c>
      <c r="B13" s="41" t="s">
        <v>65</v>
      </c>
    </row>
    <row r="14" spans="1:2" ht="22.8" customHeight="1" x14ac:dyDescent="0.3">
      <c r="A14" s="40" t="s">
        <v>66</v>
      </c>
      <c r="B14" s="41" t="s">
        <v>67</v>
      </c>
    </row>
    <row r="15" spans="1:2" ht="18" customHeight="1" x14ac:dyDescent="0.3">
      <c r="A15" s="106" t="s">
        <v>68</v>
      </c>
      <c r="B15" s="103"/>
    </row>
    <row r="16" spans="1:2" x14ac:dyDescent="0.3">
      <c r="A16" s="40" t="s">
        <v>69</v>
      </c>
      <c r="B16" s="41" t="s">
        <v>70</v>
      </c>
    </row>
    <row r="17" spans="1:2" x14ac:dyDescent="0.3">
      <c r="A17" s="40" t="s">
        <v>71</v>
      </c>
      <c r="B17" s="41" t="s">
        <v>72</v>
      </c>
    </row>
    <row r="18" spans="1:2" x14ac:dyDescent="0.3">
      <c r="A18" s="40" t="s">
        <v>73</v>
      </c>
      <c r="B18" s="41" t="s">
        <v>74</v>
      </c>
    </row>
    <row r="19" spans="1:2" x14ac:dyDescent="0.3">
      <c r="A19" s="40" t="s">
        <v>75</v>
      </c>
      <c r="B19" s="41" t="s">
        <v>76</v>
      </c>
    </row>
    <row r="20" spans="1:2" x14ac:dyDescent="0.3">
      <c r="A20" s="40" t="s">
        <v>77</v>
      </c>
      <c r="B20" s="41" t="s">
        <v>78</v>
      </c>
    </row>
    <row r="21" spans="1:2" ht="22.8" customHeight="1" x14ac:dyDescent="0.3">
      <c r="A21" s="40" t="s">
        <v>79</v>
      </c>
      <c r="B21" s="41" t="s">
        <v>80</v>
      </c>
    </row>
    <row r="22" spans="1:2" x14ac:dyDescent="0.3">
      <c r="A22" s="40" t="s">
        <v>81</v>
      </c>
      <c r="B22" s="41" t="s">
        <v>82</v>
      </c>
    </row>
    <row r="23" spans="1:2" x14ac:dyDescent="0.3">
      <c r="A23" s="40" t="s">
        <v>83</v>
      </c>
      <c r="B23" s="41" t="s">
        <v>84</v>
      </c>
    </row>
    <row r="24" spans="1:2" ht="22.8" customHeight="1" x14ac:dyDescent="0.3">
      <c r="A24" s="40" t="s">
        <v>85</v>
      </c>
      <c r="B24" s="41" t="s">
        <v>86</v>
      </c>
    </row>
    <row r="25" spans="1:2" ht="18" customHeight="1" x14ac:dyDescent="0.3">
      <c r="A25" s="106" t="s">
        <v>87</v>
      </c>
      <c r="B25" s="103"/>
    </row>
    <row r="26" spans="1:2" x14ac:dyDescent="0.3">
      <c r="A26" s="40" t="s">
        <v>88</v>
      </c>
      <c r="B26" s="41" t="s">
        <v>89</v>
      </c>
    </row>
    <row r="27" spans="1:2" x14ac:dyDescent="0.3">
      <c r="A27" s="40" t="s">
        <v>90</v>
      </c>
      <c r="B27" s="41" t="s">
        <v>91</v>
      </c>
    </row>
    <row r="28" spans="1:2" x14ac:dyDescent="0.3">
      <c r="A28" s="40" t="s">
        <v>92</v>
      </c>
      <c r="B28" s="41" t="s">
        <v>93</v>
      </c>
    </row>
    <row r="29" spans="1:2" x14ac:dyDescent="0.3">
      <c r="A29" s="40" t="s">
        <v>94</v>
      </c>
      <c r="B29" s="41" t="s">
        <v>95</v>
      </c>
    </row>
    <row r="30" spans="1:2" ht="27.6" customHeight="1" x14ac:dyDescent="0.3">
      <c r="A30" s="40" t="s">
        <v>96</v>
      </c>
      <c r="B30" s="41" t="s">
        <v>97</v>
      </c>
    </row>
    <row r="31" spans="1:2" ht="27.6" customHeight="1" x14ac:dyDescent="0.3">
      <c r="A31" s="40" t="s">
        <v>98</v>
      </c>
      <c r="B31" s="41" t="s">
        <v>99</v>
      </c>
    </row>
    <row r="32" spans="1:2" ht="27.6" customHeight="1" x14ac:dyDescent="0.3">
      <c r="A32" s="40" t="s">
        <v>100</v>
      </c>
      <c r="B32" s="41" t="s">
        <v>101</v>
      </c>
    </row>
    <row r="33" spans="1:2" ht="22.8" customHeight="1" x14ac:dyDescent="0.3">
      <c r="A33" s="40" t="s">
        <v>102</v>
      </c>
      <c r="B33" s="41" t="s">
        <v>103</v>
      </c>
    </row>
    <row r="34" spans="1:2" ht="18" customHeight="1" x14ac:dyDescent="0.3">
      <c r="A34" s="106" t="s">
        <v>104</v>
      </c>
      <c r="B34" s="103"/>
    </row>
    <row r="35" spans="1:2" x14ac:dyDescent="0.3">
      <c r="A35" s="40" t="s">
        <v>105</v>
      </c>
      <c r="B35" s="41" t="s">
        <v>106</v>
      </c>
    </row>
    <row r="36" spans="1:2" x14ac:dyDescent="0.3">
      <c r="A36" s="40" t="s">
        <v>107</v>
      </c>
      <c r="B36" s="41" t="s">
        <v>108</v>
      </c>
    </row>
    <row r="37" spans="1:2" ht="22.8" customHeight="1" x14ac:dyDescent="0.3">
      <c r="A37" s="40" t="s">
        <v>109</v>
      </c>
      <c r="B37" s="41" t="s">
        <v>110</v>
      </c>
    </row>
    <row r="38" spans="1:2" x14ac:dyDescent="0.3">
      <c r="A38" s="42"/>
      <c r="B38" s="43"/>
    </row>
    <row r="39" spans="1:2" x14ac:dyDescent="0.3">
      <c r="A39" s="42"/>
      <c r="B39" s="43"/>
    </row>
    <row r="40" spans="1:2" x14ac:dyDescent="0.3">
      <c r="A40" s="42"/>
      <c r="B40" s="43"/>
    </row>
    <row r="41" spans="1:2" x14ac:dyDescent="0.3">
      <c r="A41" s="42"/>
      <c r="B41" s="43"/>
    </row>
    <row r="42" spans="1:2" x14ac:dyDescent="0.3">
      <c r="A42" s="42"/>
      <c r="B42" s="43"/>
    </row>
    <row r="43" spans="1:2" x14ac:dyDescent="0.3">
      <c r="A43" s="42"/>
      <c r="B43" s="43"/>
    </row>
    <row r="44" spans="1:2" x14ac:dyDescent="0.3">
      <c r="A44" s="44"/>
      <c r="B44" s="45"/>
    </row>
    <row r="45" spans="1:2" x14ac:dyDescent="0.3">
      <c r="A45" s="39"/>
      <c r="B45" s="39"/>
    </row>
    <row r="46" spans="1:2" ht="27.6" customHeight="1" x14ac:dyDescent="0.3">
      <c r="A46" s="46"/>
      <c r="B46" s="47"/>
    </row>
    <row r="47" spans="1:2" x14ac:dyDescent="0.3">
      <c r="A47" s="39"/>
      <c r="B47" s="39"/>
    </row>
    <row r="48" spans="1:2" x14ac:dyDescent="0.3">
      <c r="A48" s="48"/>
      <c r="B48" s="39"/>
    </row>
    <row r="49" spans="1:2" x14ac:dyDescent="0.3">
      <c r="A49" s="39"/>
      <c r="B49" s="39"/>
    </row>
    <row r="50" spans="1:2" ht="17.399999999999999" customHeight="1" x14ac:dyDescent="0.35">
      <c r="A50" s="49"/>
      <c r="B50" s="39"/>
    </row>
    <row r="51" spans="1:2" x14ac:dyDescent="0.3">
      <c r="A51" s="39"/>
      <c r="B51" s="39"/>
    </row>
    <row r="52" spans="1:2" ht="27.6" customHeight="1" x14ac:dyDescent="0.3">
      <c r="A52" s="50"/>
      <c r="B52" s="51"/>
    </row>
    <row r="53" spans="1:2" x14ac:dyDescent="0.3">
      <c r="A53" s="39"/>
      <c r="B53" s="39"/>
    </row>
    <row r="54" spans="1:2" x14ac:dyDescent="0.3">
      <c r="A54" s="52"/>
      <c r="B54" s="39"/>
    </row>
    <row r="55" spans="1:2" x14ac:dyDescent="0.3">
      <c r="A55" s="53"/>
      <c r="B55" s="51"/>
    </row>
    <row r="56" spans="1:2" x14ac:dyDescent="0.3">
      <c r="A56" s="53"/>
      <c r="B56" s="51"/>
    </row>
    <row r="57" spans="1:2" x14ac:dyDescent="0.3">
      <c r="A57" s="53"/>
      <c r="B57" s="51"/>
    </row>
    <row r="58" spans="1:2" x14ac:dyDescent="0.3">
      <c r="A58" s="53"/>
      <c r="B58" s="51"/>
    </row>
    <row r="59" spans="1:2" x14ac:dyDescent="0.3">
      <c r="A59" s="39"/>
      <c r="B59" s="39"/>
    </row>
    <row r="60" spans="1:2" x14ac:dyDescent="0.3">
      <c r="A60" s="52"/>
      <c r="B60" s="39"/>
    </row>
    <row r="61" spans="1:2" x14ac:dyDescent="0.3">
      <c r="A61" s="53"/>
      <c r="B61" s="51"/>
    </row>
    <row r="62" spans="1:2" x14ac:dyDescent="0.3">
      <c r="A62" s="53"/>
      <c r="B62" s="51"/>
    </row>
    <row r="63" spans="1:2" x14ac:dyDescent="0.3">
      <c r="A63" s="53"/>
      <c r="B63" s="51"/>
    </row>
    <row r="64" spans="1:2" x14ac:dyDescent="0.3">
      <c r="A64" s="53"/>
      <c r="B64" s="51"/>
    </row>
    <row r="65" spans="1:2" x14ac:dyDescent="0.3">
      <c r="A65" s="39"/>
      <c r="B65" s="39"/>
    </row>
    <row r="66" spans="1:2" x14ac:dyDescent="0.3">
      <c r="A66" s="52"/>
      <c r="B66" s="51"/>
    </row>
    <row r="67" spans="1:2" x14ac:dyDescent="0.3">
      <c r="A67" s="54"/>
      <c r="B67" s="51"/>
    </row>
    <row r="68" spans="1:2" x14ac:dyDescent="0.3">
      <c r="A68" s="54"/>
      <c r="B68" s="51"/>
    </row>
    <row r="69" spans="1:2" x14ac:dyDescent="0.3">
      <c r="A69" s="54"/>
      <c r="B69" s="51"/>
    </row>
    <row r="70" spans="1:2" x14ac:dyDescent="0.3">
      <c r="A70" s="54"/>
      <c r="B70" s="51"/>
    </row>
    <row r="71" spans="1:2" x14ac:dyDescent="0.3">
      <c r="A71" s="54"/>
      <c r="B71" s="51"/>
    </row>
    <row r="72" spans="1:2" x14ac:dyDescent="0.3">
      <c r="A72" s="54"/>
      <c r="B72" s="51"/>
    </row>
    <row r="73" spans="1:2" x14ac:dyDescent="0.3">
      <c r="A73" s="54"/>
      <c r="B73" s="51"/>
    </row>
    <row r="74" spans="1:2" x14ac:dyDescent="0.3">
      <c r="A74" s="54"/>
      <c r="B74" s="51"/>
    </row>
    <row r="75" spans="1:2" x14ac:dyDescent="0.3">
      <c r="A75" s="54"/>
      <c r="B75" s="51"/>
    </row>
    <row r="76" spans="1:2" x14ac:dyDescent="0.3">
      <c r="A76" s="54"/>
      <c r="B76" s="51"/>
    </row>
    <row r="77" spans="1:2" x14ac:dyDescent="0.3">
      <c r="A77" s="39"/>
      <c r="B77" s="39"/>
    </row>
    <row r="78" spans="1:2" ht="27.6" customHeight="1" x14ac:dyDescent="0.3">
      <c r="A78" s="50"/>
      <c r="B78" s="51"/>
    </row>
  </sheetData>
  <mergeCells count="4">
    <mergeCell ref="A25:B25"/>
    <mergeCell ref="A2:B2"/>
    <mergeCell ref="A15:B15"/>
    <mergeCell ref="A34:B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topLeftCell="A21" zoomScale="46" workbookViewId="0">
      <selection activeCell="D9" sqref="D9"/>
    </sheetView>
  </sheetViews>
  <sheetFormatPr baseColWidth="10" defaultColWidth="8.88671875" defaultRowHeight="14.4" x14ac:dyDescent="0.3"/>
  <cols>
    <col min="1" max="1" width="13.5546875" customWidth="1"/>
    <col min="2" max="2" width="20" customWidth="1"/>
    <col min="3" max="3" width="16" customWidth="1"/>
    <col min="4" max="4" width="70" customWidth="1"/>
    <col min="5" max="6" width="20" customWidth="1"/>
    <col min="7" max="7" width="16" customWidth="1"/>
    <col min="8" max="8" width="12" customWidth="1"/>
    <col min="9" max="9" width="28" customWidth="1"/>
  </cols>
  <sheetData>
    <row r="1" spans="1:9" ht="18" customHeight="1" x14ac:dyDescent="0.35">
      <c r="A1" s="112" t="s">
        <v>111</v>
      </c>
      <c r="B1" s="103"/>
      <c r="C1" s="103"/>
      <c r="D1" s="103"/>
      <c r="E1" s="103"/>
      <c r="F1" s="103"/>
      <c r="G1" s="103"/>
      <c r="H1" s="103"/>
      <c r="I1" s="103"/>
    </row>
    <row r="2" spans="1:9" x14ac:dyDescent="0.3">
      <c r="A2" s="117" t="s">
        <v>112</v>
      </c>
      <c r="B2" s="103"/>
      <c r="C2" s="103"/>
      <c r="D2" s="103"/>
      <c r="E2" s="103"/>
      <c r="F2" s="103"/>
      <c r="G2" s="103"/>
      <c r="H2" s="103"/>
      <c r="I2" s="103"/>
    </row>
    <row r="4" spans="1:9" ht="28.8" customHeight="1" x14ac:dyDescent="0.3">
      <c r="A4" s="11" t="s">
        <v>113</v>
      </c>
      <c r="B4" s="11" t="s">
        <v>114</v>
      </c>
      <c r="C4" s="11" t="s">
        <v>115</v>
      </c>
      <c r="D4" s="11" t="s">
        <v>116</v>
      </c>
      <c r="E4" s="11" t="s">
        <v>117</v>
      </c>
      <c r="F4" s="11" t="s">
        <v>118</v>
      </c>
      <c r="G4" s="11" t="s">
        <v>119</v>
      </c>
      <c r="H4" s="11" t="s">
        <v>120</v>
      </c>
      <c r="I4" s="11" t="s">
        <v>121</v>
      </c>
    </row>
    <row r="5" spans="1:9" ht="19.95" customHeight="1" x14ac:dyDescent="0.3">
      <c r="A5" s="115" t="s">
        <v>122</v>
      </c>
      <c r="B5" s="108"/>
      <c r="C5" s="108"/>
      <c r="D5" s="108"/>
      <c r="E5" s="108"/>
      <c r="F5" s="108"/>
      <c r="G5" s="108"/>
      <c r="H5" s="108"/>
      <c r="I5" s="109"/>
    </row>
    <row r="6" spans="1:9" ht="75" customHeight="1" x14ac:dyDescent="0.3">
      <c r="A6" s="56">
        <v>1</v>
      </c>
      <c r="B6" s="56" t="s">
        <v>123</v>
      </c>
      <c r="C6" s="56" t="s">
        <v>124</v>
      </c>
      <c r="D6" s="56" t="s">
        <v>125</v>
      </c>
      <c r="E6" s="56" t="s">
        <v>126</v>
      </c>
      <c r="F6" s="56" t="s">
        <v>127</v>
      </c>
      <c r="G6" s="56" t="s">
        <v>128</v>
      </c>
      <c r="H6" s="56">
        <v>19</v>
      </c>
      <c r="I6" s="56" t="s">
        <v>129</v>
      </c>
    </row>
    <row r="7" spans="1:9" ht="75" customHeight="1" x14ac:dyDescent="0.3">
      <c r="A7" s="56">
        <v>2</v>
      </c>
      <c r="B7" s="56" t="s">
        <v>123</v>
      </c>
      <c r="C7" s="56" t="s">
        <v>130</v>
      </c>
      <c r="D7" s="56" t="s">
        <v>131</v>
      </c>
      <c r="E7" s="56" t="s">
        <v>126</v>
      </c>
      <c r="F7" s="56" t="s">
        <v>127</v>
      </c>
      <c r="G7" s="56" t="s">
        <v>132</v>
      </c>
      <c r="H7" s="56">
        <v>7</v>
      </c>
      <c r="I7" s="56" t="s">
        <v>133</v>
      </c>
    </row>
    <row r="8" spans="1:9" ht="75" customHeight="1" x14ac:dyDescent="0.3">
      <c r="A8" s="56">
        <v>3</v>
      </c>
      <c r="B8" s="56" t="s">
        <v>123</v>
      </c>
      <c r="C8" s="56" t="s">
        <v>134</v>
      </c>
      <c r="D8" s="56" t="s">
        <v>125</v>
      </c>
      <c r="E8" s="56" t="s">
        <v>126</v>
      </c>
      <c r="F8" s="56" t="s">
        <v>127</v>
      </c>
      <c r="G8" s="56" t="s">
        <v>128</v>
      </c>
      <c r="H8" s="56">
        <v>3</v>
      </c>
      <c r="I8" s="56" t="s">
        <v>135</v>
      </c>
    </row>
    <row r="9" spans="1:9" ht="75" customHeight="1" x14ac:dyDescent="0.3">
      <c r="A9" s="56">
        <v>4</v>
      </c>
      <c r="B9" s="56" t="s">
        <v>136</v>
      </c>
      <c r="C9" s="56" t="s">
        <v>124</v>
      </c>
      <c r="D9" s="56" t="s">
        <v>137</v>
      </c>
      <c r="E9" s="56" t="s">
        <v>126</v>
      </c>
      <c r="F9" s="56" t="s">
        <v>127</v>
      </c>
      <c r="G9" s="56" t="s">
        <v>132</v>
      </c>
      <c r="H9" s="56">
        <v>7</v>
      </c>
      <c r="I9" s="56" t="s">
        <v>138</v>
      </c>
    </row>
    <row r="10" spans="1:9" ht="75" customHeight="1" x14ac:dyDescent="0.3">
      <c r="A10" s="56">
        <v>5</v>
      </c>
      <c r="B10" s="56" t="s">
        <v>139</v>
      </c>
      <c r="C10" s="56" t="s">
        <v>124</v>
      </c>
      <c r="D10" s="56" t="s">
        <v>140</v>
      </c>
      <c r="E10" s="56" t="s">
        <v>126</v>
      </c>
      <c r="F10" s="56" t="s">
        <v>127</v>
      </c>
      <c r="G10" s="56" t="s">
        <v>132</v>
      </c>
      <c r="H10" s="56">
        <v>4</v>
      </c>
      <c r="I10" s="56" t="s">
        <v>141</v>
      </c>
    </row>
    <row r="11" spans="1:9" ht="75" customHeight="1" x14ac:dyDescent="0.3">
      <c r="A11" s="56">
        <v>6</v>
      </c>
      <c r="B11" s="56" t="s">
        <v>142</v>
      </c>
      <c r="C11" s="56" t="s">
        <v>124</v>
      </c>
      <c r="D11" s="56" t="s">
        <v>143</v>
      </c>
      <c r="E11" s="56" t="s">
        <v>126</v>
      </c>
      <c r="F11" s="56" t="s">
        <v>127</v>
      </c>
      <c r="G11" s="56" t="s">
        <v>132</v>
      </c>
      <c r="H11" s="56">
        <v>6</v>
      </c>
      <c r="I11" s="56" t="s">
        <v>144</v>
      </c>
    </row>
    <row r="12" spans="1:9" ht="75" customHeight="1" x14ac:dyDescent="0.3">
      <c r="A12" s="56">
        <v>7</v>
      </c>
      <c r="B12" s="56" t="s">
        <v>145</v>
      </c>
      <c r="C12" s="56" t="s">
        <v>124</v>
      </c>
      <c r="D12" s="56" t="s">
        <v>146</v>
      </c>
      <c r="E12" s="56" t="s">
        <v>126</v>
      </c>
      <c r="F12" s="56" t="s">
        <v>127</v>
      </c>
      <c r="G12" s="56" t="s">
        <v>147</v>
      </c>
      <c r="H12" s="56">
        <v>4</v>
      </c>
      <c r="I12" s="56" t="s">
        <v>148</v>
      </c>
    </row>
    <row r="13" spans="1:9" ht="75" customHeight="1" x14ac:dyDescent="0.3">
      <c r="A13" s="56">
        <v>8</v>
      </c>
      <c r="B13" s="56" t="s">
        <v>149</v>
      </c>
      <c r="C13" s="56" t="s">
        <v>124</v>
      </c>
      <c r="D13" s="56" t="s">
        <v>150</v>
      </c>
      <c r="E13" s="56" t="s">
        <v>126</v>
      </c>
      <c r="F13" s="56" t="s">
        <v>127</v>
      </c>
      <c r="G13" s="56" t="s">
        <v>132</v>
      </c>
      <c r="H13" s="56">
        <v>2</v>
      </c>
      <c r="I13" s="56" t="s">
        <v>151</v>
      </c>
    </row>
    <row r="14" spans="1:9" ht="75" customHeight="1" x14ac:dyDescent="0.3">
      <c r="A14" s="56">
        <v>9</v>
      </c>
      <c r="B14" s="56" t="s">
        <v>152</v>
      </c>
      <c r="C14" s="56" t="s">
        <v>124</v>
      </c>
      <c r="D14" s="56" t="s">
        <v>153</v>
      </c>
      <c r="E14" s="56" t="s">
        <v>126</v>
      </c>
      <c r="F14" s="56" t="s">
        <v>127</v>
      </c>
      <c r="G14" s="56" t="s">
        <v>132</v>
      </c>
      <c r="H14" s="56">
        <v>4</v>
      </c>
      <c r="I14" s="56" t="s">
        <v>154</v>
      </c>
    </row>
    <row r="15" spans="1:9" ht="19.95" customHeight="1" x14ac:dyDescent="0.3">
      <c r="A15" s="115" t="s">
        <v>155</v>
      </c>
      <c r="B15" s="108"/>
      <c r="C15" s="108"/>
      <c r="D15" s="108"/>
      <c r="E15" s="108"/>
      <c r="F15" s="108"/>
      <c r="G15" s="108"/>
      <c r="H15" s="108"/>
      <c r="I15" s="109"/>
    </row>
    <row r="16" spans="1:9" ht="75" customHeight="1" x14ac:dyDescent="0.3">
      <c r="A16" s="56">
        <v>12</v>
      </c>
      <c r="B16" s="56" t="s">
        <v>156</v>
      </c>
      <c r="C16" s="56" t="s">
        <v>124</v>
      </c>
      <c r="D16" s="56" t="s">
        <v>157</v>
      </c>
      <c r="E16" s="56" t="s">
        <v>126</v>
      </c>
      <c r="F16" s="56" t="s">
        <v>158</v>
      </c>
      <c r="G16" s="56" t="s">
        <v>159</v>
      </c>
      <c r="H16" s="56">
        <v>13</v>
      </c>
      <c r="I16" s="56" t="s">
        <v>160</v>
      </c>
    </row>
    <row r="17" spans="1:9" ht="75" customHeight="1" x14ac:dyDescent="0.3">
      <c r="A17" s="56">
        <v>13</v>
      </c>
      <c r="B17" s="56" t="s">
        <v>161</v>
      </c>
      <c r="C17" s="56" t="s">
        <v>124</v>
      </c>
      <c r="D17" s="56" t="s">
        <v>162</v>
      </c>
      <c r="E17" s="56" t="s">
        <v>126</v>
      </c>
      <c r="F17" s="56" t="s">
        <v>158</v>
      </c>
      <c r="G17" s="56" t="s">
        <v>159</v>
      </c>
      <c r="H17" s="56">
        <v>0</v>
      </c>
      <c r="I17" s="56" t="s">
        <v>163</v>
      </c>
    </row>
    <row r="18" spans="1:9" ht="75" customHeight="1" x14ac:dyDescent="0.3">
      <c r="A18" s="56">
        <v>14</v>
      </c>
      <c r="B18" s="56" t="s">
        <v>164</v>
      </c>
      <c r="C18" s="56" t="s">
        <v>124</v>
      </c>
      <c r="D18" s="56" t="s">
        <v>165</v>
      </c>
      <c r="E18" s="56" t="s">
        <v>126</v>
      </c>
      <c r="F18" s="56" t="s">
        <v>158</v>
      </c>
      <c r="G18" s="56" t="s">
        <v>159</v>
      </c>
      <c r="H18" s="56">
        <v>0</v>
      </c>
      <c r="I18" s="56" t="s">
        <v>163</v>
      </c>
    </row>
    <row r="19" spans="1:9" ht="75" customHeight="1" x14ac:dyDescent="0.3">
      <c r="A19" s="56">
        <v>15</v>
      </c>
      <c r="B19" s="56" t="s">
        <v>166</v>
      </c>
      <c r="C19" s="56" t="s">
        <v>134</v>
      </c>
      <c r="D19" s="56" t="s">
        <v>167</v>
      </c>
      <c r="E19" s="56" t="s">
        <v>126</v>
      </c>
      <c r="F19" s="56" t="s">
        <v>158</v>
      </c>
      <c r="G19" s="56" t="s">
        <v>159</v>
      </c>
      <c r="H19" s="56">
        <v>1</v>
      </c>
      <c r="I19" s="56" t="s">
        <v>168</v>
      </c>
    </row>
    <row r="20" spans="1:9" ht="19.95" customHeight="1" x14ac:dyDescent="0.3">
      <c r="A20" s="114" t="s">
        <v>169</v>
      </c>
      <c r="B20" s="108"/>
      <c r="C20" s="108"/>
      <c r="D20" s="108"/>
      <c r="E20" s="108"/>
      <c r="F20" s="108"/>
      <c r="G20" s="108"/>
      <c r="H20" s="108"/>
      <c r="I20" s="109"/>
    </row>
    <row r="21" spans="1:9" ht="75" customHeight="1" x14ac:dyDescent="0.3">
      <c r="A21" s="56">
        <v>16</v>
      </c>
      <c r="B21" s="56" t="s">
        <v>170</v>
      </c>
      <c r="C21" s="56" t="s">
        <v>130</v>
      </c>
      <c r="D21" s="56" t="s">
        <v>171</v>
      </c>
      <c r="E21" s="56" t="s">
        <v>126</v>
      </c>
      <c r="F21" s="56" t="s">
        <v>172</v>
      </c>
      <c r="G21" s="56" t="s">
        <v>173</v>
      </c>
      <c r="H21" s="56">
        <v>4</v>
      </c>
      <c r="I21" s="56" t="s">
        <v>174</v>
      </c>
    </row>
    <row r="22" spans="1:9" ht="75" customHeight="1" x14ac:dyDescent="0.3">
      <c r="A22" s="56">
        <v>17</v>
      </c>
      <c r="B22" s="56" t="s">
        <v>175</v>
      </c>
      <c r="C22" s="56" t="s">
        <v>130</v>
      </c>
      <c r="D22" s="56" t="s">
        <v>176</v>
      </c>
      <c r="E22" s="56" t="s">
        <v>126</v>
      </c>
      <c r="F22" s="56" t="s">
        <v>172</v>
      </c>
      <c r="G22" s="56" t="s">
        <v>173</v>
      </c>
      <c r="H22" s="56">
        <v>3</v>
      </c>
      <c r="I22" s="56" t="s">
        <v>177</v>
      </c>
    </row>
    <row r="23" spans="1:9" ht="75" customHeight="1" x14ac:dyDescent="0.3">
      <c r="A23" s="56">
        <v>18</v>
      </c>
      <c r="B23" s="56" t="s">
        <v>178</v>
      </c>
      <c r="C23" s="56" t="s">
        <v>130</v>
      </c>
      <c r="D23" s="56" t="s">
        <v>179</v>
      </c>
      <c r="E23" s="56" t="s">
        <v>126</v>
      </c>
      <c r="F23" s="56" t="s">
        <v>180</v>
      </c>
      <c r="G23" s="56" t="s">
        <v>173</v>
      </c>
      <c r="H23" s="56">
        <v>1</v>
      </c>
      <c r="I23" s="56" t="s">
        <v>181</v>
      </c>
    </row>
    <row r="24" spans="1:9" ht="17.399999999999999" customHeight="1" x14ac:dyDescent="0.35">
      <c r="A24" s="32"/>
    </row>
    <row r="25" spans="1:9" ht="19.95" customHeight="1" x14ac:dyDescent="0.3">
      <c r="A25" s="116" t="s">
        <v>182</v>
      </c>
      <c r="B25" s="108"/>
      <c r="C25" s="108"/>
      <c r="D25" s="108"/>
      <c r="E25" s="108"/>
      <c r="F25" s="108"/>
      <c r="G25" s="108"/>
      <c r="H25" s="108"/>
      <c r="I25" s="109"/>
    </row>
    <row r="26" spans="1:9" ht="30" customHeight="1" x14ac:dyDescent="0.3">
      <c r="A26" s="57"/>
      <c r="B26" s="111" t="s">
        <v>183</v>
      </c>
      <c r="C26" s="108"/>
      <c r="D26" s="108"/>
      <c r="E26" s="108"/>
      <c r="F26" s="108"/>
      <c r="G26" s="109"/>
      <c r="H26" s="59">
        <f>SUMIF($C$5:$C$23,"Scopus",$H$5:$H$23)</f>
        <v>59</v>
      </c>
      <c r="I26" s="57"/>
    </row>
    <row r="27" spans="1:9" ht="30" customHeight="1" x14ac:dyDescent="0.3">
      <c r="A27" s="57"/>
      <c r="B27" s="111" t="s">
        <v>184</v>
      </c>
      <c r="C27" s="108"/>
      <c r="D27" s="108"/>
      <c r="E27" s="108"/>
      <c r="F27" s="108"/>
      <c r="G27" s="109"/>
      <c r="H27" s="59">
        <f>SUMIF($C$5:$C$23,"Science Direct",$H$5:$H$23)</f>
        <v>15</v>
      </c>
      <c r="I27" s="57"/>
    </row>
    <row r="28" spans="1:9" ht="30" customHeight="1" x14ac:dyDescent="0.3">
      <c r="A28" s="57"/>
      <c r="B28" s="111" t="s">
        <v>185</v>
      </c>
      <c r="C28" s="108"/>
      <c r="D28" s="108"/>
      <c r="E28" s="108"/>
      <c r="F28" s="108"/>
      <c r="G28" s="109"/>
      <c r="H28" s="59">
        <f>SUMIF($C$5:$C$23,"Springer Link",$H$5:$H$23)</f>
        <v>4</v>
      </c>
      <c r="I28" s="57"/>
    </row>
    <row r="29" spans="1:9" ht="30" customHeight="1" x14ac:dyDescent="0.3">
      <c r="A29" s="58"/>
      <c r="B29" s="107" t="s">
        <v>186</v>
      </c>
      <c r="C29" s="108"/>
      <c r="D29" s="108"/>
      <c r="E29" s="108"/>
      <c r="F29" s="108"/>
      <c r="G29" s="109"/>
      <c r="H29" s="59">
        <f>SUM(H26,H27,H28)</f>
        <v>78</v>
      </c>
      <c r="I29" s="58"/>
    </row>
    <row r="30" spans="1:9" ht="30" customHeight="1" x14ac:dyDescent="0.3">
      <c r="A30" s="60"/>
      <c r="B30" s="113" t="s">
        <v>187</v>
      </c>
      <c r="C30" s="108"/>
      <c r="D30" s="108"/>
      <c r="E30" s="108"/>
      <c r="F30" s="108"/>
      <c r="G30" s="109"/>
      <c r="H30" s="59">
        <v>10</v>
      </c>
      <c r="I30" s="58"/>
    </row>
    <row r="31" spans="1:9" ht="30" customHeight="1" x14ac:dyDescent="0.3">
      <c r="A31" s="58"/>
      <c r="B31" s="107" t="s">
        <v>188</v>
      </c>
      <c r="C31" s="108"/>
      <c r="D31" s="108"/>
      <c r="E31" s="108"/>
      <c r="F31" s="108"/>
      <c r="G31" s="109"/>
      <c r="H31" s="59">
        <f>COUNTA(Base_consolidada!$A$4:$A$200)</f>
        <v>68</v>
      </c>
      <c r="I31" s="58"/>
    </row>
    <row r="32" spans="1:9" ht="30" customHeight="1" x14ac:dyDescent="0.3">
      <c r="A32" s="58"/>
      <c r="B32" s="107" t="s">
        <v>189</v>
      </c>
      <c r="C32" s="108"/>
      <c r="D32" s="108"/>
      <c r="E32" s="108"/>
      <c r="F32" s="108"/>
      <c r="G32" s="109"/>
      <c r="H32" s="59" t="str">
        <f>IF(H29-H30=H31,"Correcto","Revisar")</f>
        <v>Correcto</v>
      </c>
      <c r="I32" s="58"/>
    </row>
    <row r="34" spans="1:9" ht="75" customHeight="1" x14ac:dyDescent="0.3">
      <c r="A34" s="68" t="s">
        <v>190</v>
      </c>
      <c r="B34" s="110" t="s">
        <v>191</v>
      </c>
      <c r="C34" s="103"/>
      <c r="D34" s="103"/>
      <c r="E34" s="103"/>
      <c r="F34" s="103"/>
      <c r="G34" s="103"/>
      <c r="H34" s="103"/>
      <c r="I34" s="103"/>
    </row>
  </sheetData>
  <mergeCells count="14">
    <mergeCell ref="B31:G31"/>
    <mergeCell ref="B34:I34"/>
    <mergeCell ref="B27:G27"/>
    <mergeCell ref="A1:I1"/>
    <mergeCell ref="B32:G32"/>
    <mergeCell ref="B26:G26"/>
    <mergeCell ref="B29:G29"/>
    <mergeCell ref="B30:G30"/>
    <mergeCell ref="A20:I20"/>
    <mergeCell ref="A15:I15"/>
    <mergeCell ref="A25:I25"/>
    <mergeCell ref="A2:I2"/>
    <mergeCell ref="B28:G28"/>
    <mergeCell ref="A5:I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1"/>
  <sheetViews>
    <sheetView zoomScale="50" zoomScaleNormal="95" workbookViewId="0">
      <selection activeCell="C55" sqref="C55"/>
    </sheetView>
  </sheetViews>
  <sheetFormatPr baseColWidth="10" defaultColWidth="8.88671875" defaultRowHeight="14.4" x14ac:dyDescent="0.3"/>
  <cols>
    <col min="1" max="1" width="8" customWidth="1"/>
    <col min="2" max="2" width="16" customWidth="1"/>
    <col min="3" max="3" width="60" customWidth="1"/>
    <col min="4" max="4" width="24" customWidth="1"/>
    <col min="5" max="5" width="10" customWidth="1"/>
    <col min="6" max="6" width="24" customWidth="1"/>
    <col min="7" max="7" width="45" customWidth="1"/>
    <col min="8" max="8" width="60" customWidth="1"/>
    <col min="9" max="9" width="17" customWidth="1"/>
    <col min="10" max="10" width="60" customWidth="1"/>
    <col min="11" max="11" width="22" customWidth="1"/>
    <col min="12" max="12" width="19" customWidth="1"/>
    <col min="13" max="13" width="14" customWidth="1"/>
    <col min="15" max="15" width="42" customWidth="1"/>
    <col min="16" max="16" width="12" customWidth="1"/>
  </cols>
  <sheetData>
    <row r="1" spans="1:16" ht="17.55" customHeight="1" x14ac:dyDescent="0.3">
      <c r="A1" s="102" t="s">
        <v>12</v>
      </c>
      <c r="B1" s="103"/>
      <c r="C1" s="103"/>
      <c r="D1" s="103"/>
      <c r="E1" s="103"/>
      <c r="F1" s="103"/>
      <c r="G1" s="103"/>
      <c r="H1" s="103"/>
      <c r="I1" s="103"/>
      <c r="J1" s="103"/>
      <c r="K1" s="103"/>
      <c r="L1" s="103"/>
      <c r="M1" s="103"/>
    </row>
    <row r="2" spans="1:16" ht="28.8" customHeight="1" x14ac:dyDescent="0.3">
      <c r="A2" s="104" t="s">
        <v>192</v>
      </c>
      <c r="B2" s="103"/>
      <c r="C2" s="103"/>
      <c r="D2" s="103"/>
      <c r="E2" s="103"/>
      <c r="F2" s="103"/>
      <c r="G2" s="103"/>
      <c r="H2" s="103"/>
      <c r="I2" s="103"/>
      <c r="J2" s="103"/>
      <c r="K2" s="103"/>
      <c r="L2" s="103"/>
      <c r="M2" s="103"/>
    </row>
    <row r="3" spans="1:16" ht="28.8" customHeight="1" x14ac:dyDescent="0.3">
      <c r="A3" s="1" t="s">
        <v>193</v>
      </c>
      <c r="B3" s="1" t="s">
        <v>115</v>
      </c>
      <c r="C3" s="1" t="s">
        <v>194</v>
      </c>
      <c r="D3" s="1" t="s">
        <v>195</v>
      </c>
      <c r="E3" s="1" t="s">
        <v>196</v>
      </c>
      <c r="F3" s="1" t="s">
        <v>197</v>
      </c>
      <c r="G3" s="1" t="s">
        <v>198</v>
      </c>
      <c r="H3" s="1" t="s">
        <v>199</v>
      </c>
      <c r="I3" s="1" t="s">
        <v>200</v>
      </c>
      <c r="J3" s="1" t="s">
        <v>201</v>
      </c>
      <c r="K3" s="1" t="s">
        <v>202</v>
      </c>
      <c r="L3" s="1" t="s">
        <v>203</v>
      </c>
      <c r="M3" s="17" t="s">
        <v>204</v>
      </c>
      <c r="O3" s="61" t="s">
        <v>205</v>
      </c>
      <c r="P3" s="62"/>
    </row>
    <row r="4" spans="1:16" ht="33.6" customHeight="1" x14ac:dyDescent="0.3">
      <c r="A4" s="12" t="s">
        <v>206</v>
      </c>
      <c r="B4" s="12" t="s">
        <v>124</v>
      </c>
      <c r="C4" s="12" t="s">
        <v>207</v>
      </c>
      <c r="D4" s="12" t="s">
        <v>208</v>
      </c>
      <c r="E4" s="12">
        <v>2019</v>
      </c>
      <c r="F4" s="12" t="s">
        <v>209</v>
      </c>
      <c r="G4" s="12" t="s">
        <v>210</v>
      </c>
      <c r="H4" s="12" t="s">
        <v>211</v>
      </c>
      <c r="I4" s="12" t="s">
        <v>212</v>
      </c>
      <c r="J4" s="12" t="s">
        <v>213</v>
      </c>
      <c r="K4" s="12" t="s">
        <v>214</v>
      </c>
      <c r="L4" s="12" t="s">
        <v>215</v>
      </c>
      <c r="M4" s="16" t="s">
        <v>216</v>
      </c>
      <c r="O4" s="58" t="s">
        <v>217</v>
      </c>
      <c r="P4" s="59">
        <f>COUNTA($A$4:$A$71)</f>
        <v>68</v>
      </c>
    </row>
    <row r="5" spans="1:16" ht="33.6" customHeight="1" x14ac:dyDescent="0.3">
      <c r="A5" s="12" t="s">
        <v>218</v>
      </c>
      <c r="B5" s="12" t="s">
        <v>124</v>
      </c>
      <c r="C5" s="12" t="s">
        <v>219</v>
      </c>
      <c r="D5" s="12" t="s">
        <v>220</v>
      </c>
      <c r="E5" s="12">
        <v>2018</v>
      </c>
      <c r="F5" s="12" t="s">
        <v>221</v>
      </c>
      <c r="G5" s="12" t="s">
        <v>222</v>
      </c>
      <c r="H5" s="12" t="s">
        <v>223</v>
      </c>
      <c r="I5" s="12" t="s">
        <v>212</v>
      </c>
      <c r="J5" s="12" t="s">
        <v>224</v>
      </c>
      <c r="K5" s="12" t="s">
        <v>214</v>
      </c>
      <c r="L5" s="12" t="s">
        <v>225</v>
      </c>
      <c r="M5" s="16" t="s">
        <v>216</v>
      </c>
      <c r="O5" s="58" t="s">
        <v>124</v>
      </c>
      <c r="P5" s="59">
        <f>COUNTIF($B$4:$B$71,"Scopus")</f>
        <v>50</v>
      </c>
    </row>
    <row r="6" spans="1:16" ht="33.6" customHeight="1" x14ac:dyDescent="0.3">
      <c r="A6" s="12" t="s">
        <v>226</v>
      </c>
      <c r="B6" s="12" t="s">
        <v>124</v>
      </c>
      <c r="C6" s="12" t="s">
        <v>227</v>
      </c>
      <c r="D6" s="12" t="s">
        <v>228</v>
      </c>
      <c r="E6" s="12">
        <v>2026</v>
      </c>
      <c r="F6" s="12" t="s">
        <v>229</v>
      </c>
      <c r="G6" s="12" t="s">
        <v>230</v>
      </c>
      <c r="H6" s="12" t="s">
        <v>231</v>
      </c>
      <c r="I6" s="12" t="s">
        <v>212</v>
      </c>
      <c r="J6" s="12" t="s">
        <v>232</v>
      </c>
      <c r="K6" s="12" t="s">
        <v>214</v>
      </c>
      <c r="L6" s="12" t="s">
        <v>233</v>
      </c>
      <c r="M6" s="16" t="s">
        <v>216</v>
      </c>
      <c r="O6" s="58" t="s">
        <v>234</v>
      </c>
      <c r="P6" s="59">
        <f>COUNTIF($B$4:$B$71,"Science Direct")</f>
        <v>14</v>
      </c>
    </row>
    <row r="7" spans="1:16" ht="33.6" customHeight="1" x14ac:dyDescent="0.3">
      <c r="A7" s="12" t="s">
        <v>235</v>
      </c>
      <c r="B7" s="12" t="s">
        <v>124</v>
      </c>
      <c r="C7" s="12" t="s">
        <v>236</v>
      </c>
      <c r="D7" s="12" t="s">
        <v>237</v>
      </c>
      <c r="E7" s="12">
        <v>2021</v>
      </c>
      <c r="F7" s="12" t="s">
        <v>238</v>
      </c>
      <c r="G7" s="12" t="s">
        <v>239</v>
      </c>
      <c r="H7" s="12" t="s">
        <v>240</v>
      </c>
      <c r="I7" s="12" t="s">
        <v>212</v>
      </c>
      <c r="J7" s="12" t="s">
        <v>241</v>
      </c>
      <c r="K7" s="12" t="s">
        <v>214</v>
      </c>
      <c r="L7" s="12" t="s">
        <v>242</v>
      </c>
      <c r="M7" s="16" t="s">
        <v>216</v>
      </c>
      <c r="O7" s="58" t="s">
        <v>134</v>
      </c>
      <c r="P7" s="59">
        <f>COUNTIF($B$4:$B$71,"Springer Link")</f>
        <v>4</v>
      </c>
    </row>
    <row r="8" spans="1:16" ht="33.6" customHeight="1" x14ac:dyDescent="0.3">
      <c r="A8" s="12" t="s">
        <v>243</v>
      </c>
      <c r="B8" s="12" t="s">
        <v>124</v>
      </c>
      <c r="C8" s="12" t="s">
        <v>244</v>
      </c>
      <c r="D8" s="12" t="s">
        <v>245</v>
      </c>
      <c r="E8" s="12">
        <v>2020</v>
      </c>
      <c r="F8" s="12" t="s">
        <v>246</v>
      </c>
      <c r="G8" s="12" t="s">
        <v>247</v>
      </c>
      <c r="H8" s="12" t="s">
        <v>248</v>
      </c>
      <c r="I8" s="12" t="s">
        <v>212</v>
      </c>
      <c r="J8" s="12" t="s">
        <v>241</v>
      </c>
      <c r="K8" s="12" t="s">
        <v>214</v>
      </c>
      <c r="L8" s="12" t="s">
        <v>249</v>
      </c>
      <c r="M8" s="16" t="s">
        <v>216</v>
      </c>
      <c r="O8" s="58" t="s">
        <v>250</v>
      </c>
      <c r="P8" s="59">
        <f>COUNTIF($M$4:$M$71,"Fitopatológico")</f>
        <v>48</v>
      </c>
    </row>
    <row r="9" spans="1:16" ht="33.6" customHeight="1" x14ac:dyDescent="0.3">
      <c r="A9" s="12" t="s">
        <v>251</v>
      </c>
      <c r="B9" s="12" t="s">
        <v>124</v>
      </c>
      <c r="C9" s="12" t="s">
        <v>252</v>
      </c>
      <c r="D9" s="12" t="s">
        <v>253</v>
      </c>
      <c r="E9" s="12">
        <v>2026</v>
      </c>
      <c r="F9" s="12" t="s">
        <v>254</v>
      </c>
      <c r="G9" s="12" t="s">
        <v>255</v>
      </c>
      <c r="H9" s="12" t="s">
        <v>256</v>
      </c>
      <c r="I9" s="12" t="s">
        <v>212</v>
      </c>
      <c r="J9" s="12" t="s">
        <v>257</v>
      </c>
      <c r="K9" s="12" t="s">
        <v>214</v>
      </c>
      <c r="L9" s="12" t="s">
        <v>242</v>
      </c>
      <c r="M9" s="16" t="s">
        <v>216</v>
      </c>
      <c r="O9" s="58" t="s">
        <v>258</v>
      </c>
      <c r="P9" s="59">
        <f>COUNTIF($M$4:$M$71,"Tecnológico")</f>
        <v>20</v>
      </c>
    </row>
    <row r="10" spans="1:16" ht="33.6" customHeight="1" x14ac:dyDescent="0.3">
      <c r="A10" s="12" t="s">
        <v>259</v>
      </c>
      <c r="B10" s="12" t="s">
        <v>124</v>
      </c>
      <c r="C10" s="12" t="s">
        <v>260</v>
      </c>
      <c r="D10" s="12" t="s">
        <v>261</v>
      </c>
      <c r="E10" s="12">
        <v>2007</v>
      </c>
      <c r="F10" s="12" t="s">
        <v>262</v>
      </c>
      <c r="G10" s="12" t="s">
        <v>263</v>
      </c>
      <c r="H10" s="12" t="s">
        <v>264</v>
      </c>
      <c r="I10" s="12" t="s">
        <v>212</v>
      </c>
      <c r="J10" s="12" t="s">
        <v>265</v>
      </c>
      <c r="K10" s="12" t="s">
        <v>214</v>
      </c>
      <c r="L10" s="12" t="s">
        <v>266</v>
      </c>
      <c r="M10" s="16" t="s">
        <v>216</v>
      </c>
      <c r="O10" s="58" t="s">
        <v>267</v>
      </c>
      <c r="P10" s="59">
        <f>COUNTIF($L$4:$L$71,"*|*")</f>
        <v>10</v>
      </c>
    </row>
    <row r="11" spans="1:16" ht="33.6" customHeight="1" x14ac:dyDescent="0.3">
      <c r="A11" s="12" t="s">
        <v>268</v>
      </c>
      <c r="B11" s="12" t="s">
        <v>124</v>
      </c>
      <c r="C11" s="12" t="s">
        <v>269</v>
      </c>
      <c r="D11" s="12" t="s">
        <v>270</v>
      </c>
      <c r="E11" s="12">
        <v>2024</v>
      </c>
      <c r="F11" s="12" t="s">
        <v>271</v>
      </c>
      <c r="G11" s="12" t="s">
        <v>272</v>
      </c>
      <c r="H11" s="12" t="s">
        <v>273</v>
      </c>
      <c r="I11" s="12" t="s">
        <v>212</v>
      </c>
      <c r="J11" s="12" t="s">
        <v>274</v>
      </c>
      <c r="K11" s="12" t="s">
        <v>214</v>
      </c>
      <c r="L11" s="12" t="s">
        <v>275</v>
      </c>
      <c r="M11" s="16" t="s">
        <v>216</v>
      </c>
    </row>
    <row r="12" spans="1:16" ht="33.6" customHeight="1" x14ac:dyDescent="0.3">
      <c r="A12" s="12" t="s">
        <v>276</v>
      </c>
      <c r="B12" s="12" t="s">
        <v>124</v>
      </c>
      <c r="C12" s="12" t="s">
        <v>277</v>
      </c>
      <c r="D12" s="12" t="s">
        <v>278</v>
      </c>
      <c r="E12" s="12">
        <v>2024</v>
      </c>
      <c r="F12" s="12" t="s">
        <v>279</v>
      </c>
      <c r="G12" s="12" t="s">
        <v>280</v>
      </c>
      <c r="H12" s="12" t="s">
        <v>281</v>
      </c>
      <c r="I12" s="12" t="s">
        <v>212</v>
      </c>
      <c r="J12" s="12" t="s">
        <v>282</v>
      </c>
      <c r="K12" s="12" t="s">
        <v>214</v>
      </c>
      <c r="L12" s="12" t="s">
        <v>283</v>
      </c>
      <c r="M12" s="16" t="s">
        <v>216</v>
      </c>
    </row>
    <row r="13" spans="1:16" ht="33.6" customHeight="1" x14ac:dyDescent="0.3">
      <c r="A13" s="12" t="s">
        <v>284</v>
      </c>
      <c r="B13" s="12" t="s">
        <v>124</v>
      </c>
      <c r="C13" s="12" t="s">
        <v>285</v>
      </c>
      <c r="D13" s="12" t="s">
        <v>286</v>
      </c>
      <c r="E13" s="12">
        <v>2021</v>
      </c>
      <c r="F13" s="12" t="s">
        <v>287</v>
      </c>
      <c r="G13" s="12" t="s">
        <v>288</v>
      </c>
      <c r="H13" s="12" t="s">
        <v>289</v>
      </c>
      <c r="I13" s="12" t="s">
        <v>212</v>
      </c>
      <c r="J13" s="12" t="s">
        <v>290</v>
      </c>
      <c r="K13" s="12" t="s">
        <v>214</v>
      </c>
      <c r="L13" s="12" t="s">
        <v>242</v>
      </c>
      <c r="M13" s="16" t="s">
        <v>216</v>
      </c>
    </row>
    <row r="14" spans="1:16" ht="33.6" customHeight="1" x14ac:dyDescent="0.3">
      <c r="A14" s="12" t="s">
        <v>291</v>
      </c>
      <c r="B14" s="12" t="s">
        <v>124</v>
      </c>
      <c r="C14" s="12" t="s">
        <v>292</v>
      </c>
      <c r="D14" s="12" t="s">
        <v>293</v>
      </c>
      <c r="E14" s="12">
        <v>2022</v>
      </c>
      <c r="F14" s="12" t="s">
        <v>294</v>
      </c>
      <c r="G14" s="12" t="s">
        <v>295</v>
      </c>
      <c r="H14" s="12" t="s">
        <v>296</v>
      </c>
      <c r="I14" s="12" t="s">
        <v>212</v>
      </c>
      <c r="J14" s="12" t="s">
        <v>297</v>
      </c>
      <c r="K14" s="12" t="s">
        <v>214</v>
      </c>
      <c r="L14" s="12" t="s">
        <v>242</v>
      </c>
      <c r="M14" s="16" t="s">
        <v>216</v>
      </c>
    </row>
    <row r="15" spans="1:16" ht="33.6" customHeight="1" x14ac:dyDescent="0.3">
      <c r="A15" s="12" t="s">
        <v>298</v>
      </c>
      <c r="B15" s="12" t="s">
        <v>124</v>
      </c>
      <c r="C15" s="12" t="s">
        <v>299</v>
      </c>
      <c r="D15" s="12" t="s">
        <v>300</v>
      </c>
      <c r="E15" s="12">
        <v>2025</v>
      </c>
      <c r="F15" s="12" t="s">
        <v>301</v>
      </c>
      <c r="G15" s="12" t="s">
        <v>302</v>
      </c>
      <c r="H15" s="12" t="s">
        <v>303</v>
      </c>
      <c r="I15" s="12" t="s">
        <v>212</v>
      </c>
      <c r="J15" s="12" t="s">
        <v>304</v>
      </c>
      <c r="K15" s="12" t="s">
        <v>214</v>
      </c>
      <c r="L15" s="12" t="s">
        <v>305</v>
      </c>
      <c r="M15" s="16" t="s">
        <v>216</v>
      </c>
    </row>
    <row r="16" spans="1:16" ht="33.6" customHeight="1" x14ac:dyDescent="0.3">
      <c r="A16" s="12" t="s">
        <v>306</v>
      </c>
      <c r="B16" s="12" t="s">
        <v>124</v>
      </c>
      <c r="C16" s="12" t="s">
        <v>307</v>
      </c>
      <c r="D16" s="12" t="s">
        <v>308</v>
      </c>
      <c r="E16" s="12">
        <v>2023</v>
      </c>
      <c r="F16" s="12" t="s">
        <v>309</v>
      </c>
      <c r="G16" s="12" t="s">
        <v>310</v>
      </c>
      <c r="H16" s="12" t="s">
        <v>311</v>
      </c>
      <c r="I16" s="12" t="s">
        <v>212</v>
      </c>
      <c r="J16" s="12" t="s">
        <v>312</v>
      </c>
      <c r="K16" s="12" t="s">
        <v>214</v>
      </c>
      <c r="L16" s="12" t="s">
        <v>275</v>
      </c>
      <c r="M16" s="16" t="s">
        <v>216</v>
      </c>
    </row>
    <row r="17" spans="1:13" ht="33.6" customHeight="1" x14ac:dyDescent="0.3">
      <c r="A17" s="12" t="s">
        <v>313</v>
      </c>
      <c r="B17" s="12" t="s">
        <v>124</v>
      </c>
      <c r="C17" s="12" t="s">
        <v>314</v>
      </c>
      <c r="D17" s="12" t="s">
        <v>315</v>
      </c>
      <c r="E17" s="12">
        <v>2025</v>
      </c>
      <c r="F17" s="12" t="s">
        <v>316</v>
      </c>
      <c r="G17" s="12" t="s">
        <v>317</v>
      </c>
      <c r="H17" s="12" t="s">
        <v>318</v>
      </c>
      <c r="I17" s="12" t="s">
        <v>212</v>
      </c>
      <c r="J17" s="12" t="s">
        <v>319</v>
      </c>
      <c r="K17" s="12" t="s">
        <v>214</v>
      </c>
      <c r="L17" s="12" t="s">
        <v>320</v>
      </c>
      <c r="M17" s="16" t="s">
        <v>216</v>
      </c>
    </row>
    <row r="18" spans="1:13" ht="33.6" customHeight="1" x14ac:dyDescent="0.3">
      <c r="A18" s="12" t="s">
        <v>321</v>
      </c>
      <c r="B18" s="12" t="s">
        <v>124</v>
      </c>
      <c r="C18" s="12" t="s">
        <v>322</v>
      </c>
      <c r="D18" s="12" t="s">
        <v>323</v>
      </c>
      <c r="E18" s="12">
        <v>2023</v>
      </c>
      <c r="F18" s="12" t="s">
        <v>324</v>
      </c>
      <c r="G18" s="12" t="s">
        <v>325</v>
      </c>
      <c r="H18" s="12" t="s">
        <v>326</v>
      </c>
      <c r="I18" s="12" t="s">
        <v>212</v>
      </c>
      <c r="J18" s="12" t="s">
        <v>327</v>
      </c>
      <c r="K18" s="12" t="s">
        <v>214</v>
      </c>
      <c r="L18" s="12" t="s">
        <v>328</v>
      </c>
      <c r="M18" s="16" t="s">
        <v>216</v>
      </c>
    </row>
    <row r="19" spans="1:13" ht="33.6" customHeight="1" x14ac:dyDescent="0.3">
      <c r="A19" s="12" t="s">
        <v>329</v>
      </c>
      <c r="B19" s="12" t="s">
        <v>124</v>
      </c>
      <c r="C19" s="12" t="s">
        <v>330</v>
      </c>
      <c r="D19" s="12" t="s">
        <v>331</v>
      </c>
      <c r="E19" s="12">
        <v>2026</v>
      </c>
      <c r="F19" s="12" t="s">
        <v>332</v>
      </c>
      <c r="G19" s="12" t="s">
        <v>333</v>
      </c>
      <c r="H19" s="12" t="s">
        <v>334</v>
      </c>
      <c r="I19" s="12" t="s">
        <v>212</v>
      </c>
      <c r="J19" s="12" t="s">
        <v>241</v>
      </c>
      <c r="K19" s="12" t="s">
        <v>214</v>
      </c>
      <c r="L19" s="12" t="s">
        <v>335</v>
      </c>
      <c r="M19" s="16" t="s">
        <v>216</v>
      </c>
    </row>
    <row r="20" spans="1:13" ht="33.6" customHeight="1" x14ac:dyDescent="0.3">
      <c r="A20" s="12" t="s">
        <v>336</v>
      </c>
      <c r="B20" s="12" t="s">
        <v>124</v>
      </c>
      <c r="C20" s="12" t="s">
        <v>337</v>
      </c>
      <c r="D20" s="12" t="s">
        <v>338</v>
      </c>
      <c r="E20" s="12">
        <v>2026</v>
      </c>
      <c r="F20" s="12" t="s">
        <v>339</v>
      </c>
      <c r="G20" s="12" t="s">
        <v>340</v>
      </c>
      <c r="H20" s="12" t="s">
        <v>341</v>
      </c>
      <c r="I20" s="12" t="s">
        <v>212</v>
      </c>
      <c r="J20" s="12" t="s">
        <v>342</v>
      </c>
      <c r="K20" s="12" t="s">
        <v>343</v>
      </c>
      <c r="L20" s="12" t="s">
        <v>344</v>
      </c>
      <c r="M20" s="16" t="s">
        <v>216</v>
      </c>
    </row>
    <row r="21" spans="1:13" ht="33.6" customHeight="1" x14ac:dyDescent="0.3">
      <c r="A21" s="12" t="s">
        <v>345</v>
      </c>
      <c r="B21" s="12" t="s">
        <v>124</v>
      </c>
      <c r="C21" s="12" t="s">
        <v>346</v>
      </c>
      <c r="D21" s="12" t="s">
        <v>347</v>
      </c>
      <c r="E21" s="12">
        <v>2026</v>
      </c>
      <c r="F21" s="12" t="s">
        <v>348</v>
      </c>
      <c r="G21" s="12" t="s">
        <v>349</v>
      </c>
      <c r="H21" s="12" t="s">
        <v>350</v>
      </c>
      <c r="I21" s="12" t="s">
        <v>212</v>
      </c>
      <c r="J21" s="12" t="s">
        <v>351</v>
      </c>
      <c r="K21" s="12" t="s">
        <v>214</v>
      </c>
      <c r="L21" s="12" t="s">
        <v>328</v>
      </c>
      <c r="M21" s="16" t="s">
        <v>216</v>
      </c>
    </row>
    <row r="22" spans="1:13" ht="33.6" customHeight="1" x14ac:dyDescent="0.3">
      <c r="A22" s="12" t="s">
        <v>352</v>
      </c>
      <c r="B22" s="12" t="s">
        <v>124</v>
      </c>
      <c r="C22" s="12" t="s">
        <v>353</v>
      </c>
      <c r="D22" s="12" t="s">
        <v>354</v>
      </c>
      <c r="E22" s="12">
        <v>2020</v>
      </c>
      <c r="F22" s="12" t="s">
        <v>355</v>
      </c>
      <c r="G22" s="12" t="s">
        <v>356</v>
      </c>
      <c r="H22" s="12" t="s">
        <v>357</v>
      </c>
      <c r="I22" s="12" t="s">
        <v>212</v>
      </c>
      <c r="J22" s="12" t="s">
        <v>358</v>
      </c>
      <c r="K22" s="12" t="s">
        <v>214</v>
      </c>
      <c r="L22" s="12" t="s">
        <v>320</v>
      </c>
      <c r="M22" s="16" t="s">
        <v>216</v>
      </c>
    </row>
    <row r="23" spans="1:13" ht="33.6" customHeight="1" x14ac:dyDescent="0.3">
      <c r="A23" s="12" t="s">
        <v>359</v>
      </c>
      <c r="B23" s="12" t="s">
        <v>124</v>
      </c>
      <c r="C23" s="12" t="s">
        <v>360</v>
      </c>
      <c r="D23" s="12" t="s">
        <v>361</v>
      </c>
      <c r="E23" s="12">
        <v>2025</v>
      </c>
      <c r="F23" s="12" t="s">
        <v>362</v>
      </c>
      <c r="G23" s="12" t="s">
        <v>363</v>
      </c>
      <c r="H23" s="12" t="s">
        <v>364</v>
      </c>
      <c r="I23" s="12" t="s">
        <v>212</v>
      </c>
      <c r="J23" s="12" t="s">
        <v>365</v>
      </c>
      <c r="K23" s="12" t="s">
        <v>214</v>
      </c>
      <c r="L23" s="12" t="s">
        <v>242</v>
      </c>
      <c r="M23" s="16" t="s">
        <v>216</v>
      </c>
    </row>
    <row r="24" spans="1:13" ht="33.6" customHeight="1" x14ac:dyDescent="0.3">
      <c r="A24" s="12" t="s">
        <v>366</v>
      </c>
      <c r="B24" s="12" t="s">
        <v>124</v>
      </c>
      <c r="C24" s="12" t="s">
        <v>367</v>
      </c>
      <c r="D24" s="12" t="s">
        <v>368</v>
      </c>
      <c r="E24" s="12">
        <v>2024</v>
      </c>
      <c r="F24" s="12" t="s">
        <v>369</v>
      </c>
      <c r="G24" s="12" t="s">
        <v>370</v>
      </c>
      <c r="H24" s="12" t="s">
        <v>371</v>
      </c>
      <c r="I24" s="12" t="s">
        <v>212</v>
      </c>
      <c r="J24" s="12" t="s">
        <v>372</v>
      </c>
      <c r="K24" s="12" t="s">
        <v>214</v>
      </c>
      <c r="L24" s="12" t="s">
        <v>242</v>
      </c>
      <c r="M24" s="16" t="s">
        <v>216</v>
      </c>
    </row>
    <row r="25" spans="1:13" ht="33.6" customHeight="1" x14ac:dyDescent="0.3">
      <c r="A25" s="12" t="s">
        <v>373</v>
      </c>
      <c r="B25" s="12" t="s">
        <v>124</v>
      </c>
      <c r="C25" s="12" t="s">
        <v>374</v>
      </c>
      <c r="D25" s="12" t="s">
        <v>375</v>
      </c>
      <c r="E25" s="12">
        <v>2019</v>
      </c>
      <c r="F25" s="12" t="s">
        <v>376</v>
      </c>
      <c r="G25" s="12" t="s">
        <v>377</v>
      </c>
      <c r="H25" s="12" t="s">
        <v>378</v>
      </c>
      <c r="I25" s="12" t="s">
        <v>212</v>
      </c>
      <c r="J25" s="12" t="s">
        <v>379</v>
      </c>
      <c r="K25" s="12" t="s">
        <v>214</v>
      </c>
      <c r="L25" s="12" t="s">
        <v>266</v>
      </c>
      <c r="M25" s="16" t="s">
        <v>216</v>
      </c>
    </row>
    <row r="26" spans="1:13" ht="33.6" customHeight="1" x14ac:dyDescent="0.3">
      <c r="A26" s="12" t="s">
        <v>380</v>
      </c>
      <c r="B26" s="12" t="s">
        <v>124</v>
      </c>
      <c r="C26" s="12" t="s">
        <v>381</v>
      </c>
      <c r="D26" s="12" t="s">
        <v>382</v>
      </c>
      <c r="E26" s="12">
        <v>2020</v>
      </c>
      <c r="F26" s="12" t="s">
        <v>383</v>
      </c>
      <c r="G26" s="12" t="s">
        <v>384</v>
      </c>
      <c r="H26" s="12" t="s">
        <v>385</v>
      </c>
      <c r="I26" s="12" t="s">
        <v>212</v>
      </c>
      <c r="J26" s="12" t="s">
        <v>319</v>
      </c>
      <c r="K26" s="12" t="s">
        <v>214</v>
      </c>
      <c r="L26" s="12" t="s">
        <v>275</v>
      </c>
      <c r="M26" s="16" t="s">
        <v>216</v>
      </c>
    </row>
    <row r="27" spans="1:13" ht="33.6" customHeight="1" x14ac:dyDescent="0.3">
      <c r="A27" s="12" t="s">
        <v>386</v>
      </c>
      <c r="B27" s="12" t="s">
        <v>124</v>
      </c>
      <c r="C27" s="12" t="s">
        <v>387</v>
      </c>
      <c r="D27" s="12" t="s">
        <v>388</v>
      </c>
      <c r="E27" s="12">
        <v>2026</v>
      </c>
      <c r="F27" s="12" t="s">
        <v>389</v>
      </c>
      <c r="G27" s="12" t="s">
        <v>390</v>
      </c>
      <c r="H27" s="12" t="s">
        <v>391</v>
      </c>
      <c r="I27" s="12" t="s">
        <v>212</v>
      </c>
      <c r="J27" s="12" t="s">
        <v>232</v>
      </c>
      <c r="K27" s="12" t="s">
        <v>214</v>
      </c>
      <c r="L27" s="12" t="s">
        <v>328</v>
      </c>
      <c r="M27" s="16" t="s">
        <v>216</v>
      </c>
    </row>
    <row r="28" spans="1:13" ht="33.6" customHeight="1" x14ac:dyDescent="0.3">
      <c r="A28" s="12" t="s">
        <v>392</v>
      </c>
      <c r="B28" s="12" t="s">
        <v>124</v>
      </c>
      <c r="C28" s="12" t="s">
        <v>393</v>
      </c>
      <c r="D28" s="12" t="s">
        <v>394</v>
      </c>
      <c r="E28" s="12">
        <v>2025</v>
      </c>
      <c r="F28" s="12" t="s">
        <v>395</v>
      </c>
      <c r="G28" s="12" t="s">
        <v>396</v>
      </c>
      <c r="H28" s="12" t="s">
        <v>397</v>
      </c>
      <c r="I28" s="12" t="s">
        <v>212</v>
      </c>
      <c r="J28" s="12" t="s">
        <v>398</v>
      </c>
      <c r="K28" s="12" t="s">
        <v>214</v>
      </c>
      <c r="L28" s="12" t="s">
        <v>283</v>
      </c>
      <c r="M28" s="16" t="s">
        <v>216</v>
      </c>
    </row>
    <row r="29" spans="1:13" ht="33.6" customHeight="1" x14ac:dyDescent="0.3">
      <c r="A29" s="12" t="s">
        <v>399</v>
      </c>
      <c r="B29" s="12" t="s">
        <v>124</v>
      </c>
      <c r="C29" s="12" t="s">
        <v>400</v>
      </c>
      <c r="D29" s="12" t="s">
        <v>401</v>
      </c>
      <c r="E29" s="12">
        <v>2025</v>
      </c>
      <c r="F29" s="12" t="s">
        <v>402</v>
      </c>
      <c r="G29" s="12" t="s">
        <v>403</v>
      </c>
      <c r="H29" s="12" t="s">
        <v>404</v>
      </c>
      <c r="I29" s="12" t="s">
        <v>212</v>
      </c>
      <c r="J29" s="12" t="s">
        <v>405</v>
      </c>
      <c r="K29" s="12" t="s">
        <v>406</v>
      </c>
      <c r="L29" s="12" t="s">
        <v>275</v>
      </c>
      <c r="M29" s="16" t="s">
        <v>216</v>
      </c>
    </row>
    <row r="30" spans="1:13" ht="33.6" customHeight="1" x14ac:dyDescent="0.3">
      <c r="A30" s="12" t="s">
        <v>407</v>
      </c>
      <c r="B30" s="12" t="s">
        <v>124</v>
      </c>
      <c r="C30" s="12" t="s">
        <v>408</v>
      </c>
      <c r="D30" s="12" t="s">
        <v>409</v>
      </c>
      <c r="E30" s="12">
        <v>2022</v>
      </c>
      <c r="F30" s="12" t="s">
        <v>410</v>
      </c>
      <c r="G30" s="12" t="s">
        <v>411</v>
      </c>
      <c r="H30" s="12" t="s">
        <v>412</v>
      </c>
      <c r="I30" s="12" t="s">
        <v>212</v>
      </c>
      <c r="J30" s="12" t="s">
        <v>304</v>
      </c>
      <c r="K30" s="12" t="s">
        <v>214</v>
      </c>
      <c r="L30" s="12" t="s">
        <v>242</v>
      </c>
      <c r="M30" s="16" t="s">
        <v>216</v>
      </c>
    </row>
    <row r="31" spans="1:13" ht="33.6" customHeight="1" x14ac:dyDescent="0.3">
      <c r="A31" s="12" t="s">
        <v>413</v>
      </c>
      <c r="B31" s="12" t="s">
        <v>124</v>
      </c>
      <c r="C31" s="12" t="s">
        <v>414</v>
      </c>
      <c r="D31" s="12" t="s">
        <v>415</v>
      </c>
      <c r="E31" s="12">
        <v>2026</v>
      </c>
      <c r="F31" s="12" t="s">
        <v>416</v>
      </c>
      <c r="G31" s="12" t="s">
        <v>417</v>
      </c>
      <c r="H31" s="12" t="s">
        <v>418</v>
      </c>
      <c r="I31" s="12" t="s">
        <v>212</v>
      </c>
      <c r="J31" s="12" t="s">
        <v>419</v>
      </c>
      <c r="K31" s="12" t="s">
        <v>214</v>
      </c>
      <c r="L31" s="12" t="s">
        <v>242</v>
      </c>
      <c r="M31" s="16" t="s">
        <v>216</v>
      </c>
    </row>
    <row r="32" spans="1:13" ht="33.6" customHeight="1" x14ac:dyDescent="0.3">
      <c r="A32" s="12" t="s">
        <v>420</v>
      </c>
      <c r="B32" s="12" t="s">
        <v>124</v>
      </c>
      <c r="C32" s="12" t="s">
        <v>421</v>
      </c>
      <c r="D32" s="12" t="s">
        <v>422</v>
      </c>
      <c r="E32" s="12">
        <v>2025</v>
      </c>
      <c r="F32" s="12" t="s">
        <v>423</v>
      </c>
      <c r="G32" s="12" t="s">
        <v>424</v>
      </c>
      <c r="H32" s="12" t="s">
        <v>425</v>
      </c>
      <c r="I32" s="12" t="s">
        <v>212</v>
      </c>
      <c r="J32" s="12" t="s">
        <v>426</v>
      </c>
      <c r="K32" s="12" t="s">
        <v>214</v>
      </c>
      <c r="L32" s="12" t="s">
        <v>275</v>
      </c>
      <c r="M32" s="16" t="s">
        <v>216</v>
      </c>
    </row>
    <row r="33" spans="1:13" ht="33.6" customHeight="1" x14ac:dyDescent="0.3">
      <c r="A33" s="12" t="s">
        <v>427</v>
      </c>
      <c r="B33" s="12" t="s">
        <v>124</v>
      </c>
      <c r="C33" s="12" t="s">
        <v>428</v>
      </c>
      <c r="D33" s="12" t="s">
        <v>429</v>
      </c>
      <c r="E33" s="12">
        <v>2026</v>
      </c>
      <c r="F33" s="12" t="s">
        <v>430</v>
      </c>
      <c r="G33" s="12" t="s">
        <v>431</v>
      </c>
      <c r="H33" s="12" t="s">
        <v>432</v>
      </c>
      <c r="I33" s="12" t="s">
        <v>212</v>
      </c>
      <c r="J33" s="12" t="s">
        <v>433</v>
      </c>
      <c r="K33" s="12" t="s">
        <v>214</v>
      </c>
      <c r="L33" s="12" t="s">
        <v>242</v>
      </c>
      <c r="M33" s="16" t="s">
        <v>216</v>
      </c>
    </row>
    <row r="34" spans="1:13" ht="33.6" customHeight="1" x14ac:dyDescent="0.3">
      <c r="A34" s="12" t="s">
        <v>434</v>
      </c>
      <c r="B34" s="12" t="s">
        <v>124</v>
      </c>
      <c r="C34" s="12" t="s">
        <v>435</v>
      </c>
      <c r="D34" s="12" t="s">
        <v>436</v>
      </c>
      <c r="E34" s="12">
        <v>2021</v>
      </c>
      <c r="F34" s="12" t="s">
        <v>437</v>
      </c>
      <c r="G34" s="12" t="s">
        <v>438</v>
      </c>
      <c r="H34" s="12" t="s">
        <v>439</v>
      </c>
      <c r="I34" s="12" t="s">
        <v>212</v>
      </c>
      <c r="J34" s="12" t="s">
        <v>440</v>
      </c>
      <c r="K34" s="12" t="s">
        <v>214</v>
      </c>
      <c r="L34" s="12" t="s">
        <v>242</v>
      </c>
      <c r="M34" s="16" t="s">
        <v>216</v>
      </c>
    </row>
    <row r="35" spans="1:13" ht="33.6" customHeight="1" x14ac:dyDescent="0.3">
      <c r="A35" s="12" t="s">
        <v>441</v>
      </c>
      <c r="B35" s="12" t="s">
        <v>124</v>
      </c>
      <c r="C35" s="12" t="s">
        <v>442</v>
      </c>
      <c r="D35" s="12" t="s">
        <v>443</v>
      </c>
      <c r="E35" s="12">
        <v>2025</v>
      </c>
      <c r="F35" s="12" t="s">
        <v>444</v>
      </c>
      <c r="G35" s="12" t="s">
        <v>445</v>
      </c>
      <c r="H35" s="12" t="s">
        <v>446</v>
      </c>
      <c r="I35" s="12" t="s">
        <v>212</v>
      </c>
      <c r="J35" s="12" t="s">
        <v>447</v>
      </c>
      <c r="K35" s="12" t="s">
        <v>214</v>
      </c>
      <c r="L35" s="12" t="s">
        <v>448</v>
      </c>
      <c r="M35" s="16" t="s">
        <v>216</v>
      </c>
    </row>
    <row r="36" spans="1:13" ht="33.6" customHeight="1" x14ac:dyDescent="0.3">
      <c r="A36" s="12" t="s">
        <v>449</v>
      </c>
      <c r="B36" s="12" t="s">
        <v>124</v>
      </c>
      <c r="C36" s="12" t="s">
        <v>450</v>
      </c>
      <c r="D36" s="12" t="s">
        <v>451</v>
      </c>
      <c r="E36" s="12">
        <v>2024</v>
      </c>
      <c r="F36" s="12" t="s">
        <v>452</v>
      </c>
      <c r="G36" s="12" t="s">
        <v>453</v>
      </c>
      <c r="H36" s="12" t="s">
        <v>454</v>
      </c>
      <c r="I36" s="12" t="s">
        <v>212</v>
      </c>
      <c r="J36" s="12" t="s">
        <v>455</v>
      </c>
      <c r="K36" s="12" t="s">
        <v>214</v>
      </c>
      <c r="L36" s="12" t="s">
        <v>225</v>
      </c>
      <c r="M36" s="16" t="s">
        <v>216</v>
      </c>
    </row>
    <row r="37" spans="1:13" ht="33.6" customHeight="1" x14ac:dyDescent="0.3">
      <c r="A37" s="12" t="s">
        <v>456</v>
      </c>
      <c r="B37" s="12" t="s">
        <v>124</v>
      </c>
      <c r="C37" s="12" t="s">
        <v>457</v>
      </c>
      <c r="D37" s="12" t="s">
        <v>458</v>
      </c>
      <c r="E37" s="12">
        <v>2025</v>
      </c>
      <c r="F37" s="12" t="s">
        <v>459</v>
      </c>
      <c r="G37" s="12" t="s">
        <v>460</v>
      </c>
      <c r="H37" s="12" t="s">
        <v>461</v>
      </c>
      <c r="I37" s="12" t="s">
        <v>212</v>
      </c>
      <c r="J37" s="12" t="s">
        <v>462</v>
      </c>
      <c r="K37" s="12" t="s">
        <v>214</v>
      </c>
      <c r="L37" s="12" t="s">
        <v>328</v>
      </c>
      <c r="M37" s="16" t="s">
        <v>216</v>
      </c>
    </row>
    <row r="38" spans="1:13" ht="33.6" customHeight="1" x14ac:dyDescent="0.3">
      <c r="A38" s="12" t="s">
        <v>463</v>
      </c>
      <c r="B38" s="12" t="s">
        <v>124</v>
      </c>
      <c r="C38" s="12" t="s">
        <v>464</v>
      </c>
      <c r="D38" s="12" t="s">
        <v>465</v>
      </c>
      <c r="E38" s="12">
        <v>2025</v>
      </c>
      <c r="F38" s="12" t="s">
        <v>466</v>
      </c>
      <c r="G38" s="12" t="s">
        <v>467</v>
      </c>
      <c r="H38" s="12" t="s">
        <v>468</v>
      </c>
      <c r="I38" s="12" t="s">
        <v>212</v>
      </c>
      <c r="J38" s="12" t="s">
        <v>469</v>
      </c>
      <c r="K38" s="12" t="s">
        <v>214</v>
      </c>
      <c r="L38" s="12" t="s">
        <v>242</v>
      </c>
      <c r="M38" s="16" t="s">
        <v>216</v>
      </c>
    </row>
    <row r="39" spans="1:13" ht="33.6" customHeight="1" x14ac:dyDescent="0.3">
      <c r="A39" s="12" t="s">
        <v>470</v>
      </c>
      <c r="B39" s="12" t="s">
        <v>124</v>
      </c>
      <c r="C39" s="12" t="s">
        <v>471</v>
      </c>
      <c r="D39" s="12" t="s">
        <v>472</v>
      </c>
      <c r="E39" s="12">
        <v>2021</v>
      </c>
      <c r="F39" s="12" t="s">
        <v>473</v>
      </c>
      <c r="G39" s="12" t="s">
        <v>356</v>
      </c>
      <c r="H39" s="12" t="s">
        <v>474</v>
      </c>
      <c r="I39" s="12" t="s">
        <v>212</v>
      </c>
      <c r="J39" s="12" t="s">
        <v>475</v>
      </c>
      <c r="K39" s="12" t="s">
        <v>214</v>
      </c>
      <c r="L39" s="12" t="s">
        <v>320</v>
      </c>
      <c r="M39" s="16" t="s">
        <v>216</v>
      </c>
    </row>
    <row r="40" spans="1:13" ht="33.6" customHeight="1" x14ac:dyDescent="0.3">
      <c r="A40" s="12" t="s">
        <v>476</v>
      </c>
      <c r="B40" s="12" t="s">
        <v>124</v>
      </c>
      <c r="C40" s="12" t="s">
        <v>477</v>
      </c>
      <c r="D40" s="12" t="s">
        <v>478</v>
      </c>
      <c r="E40" s="12">
        <v>2023</v>
      </c>
      <c r="F40" s="12" t="s">
        <v>479</v>
      </c>
      <c r="G40" s="12" t="s">
        <v>480</v>
      </c>
      <c r="H40" s="12" t="s">
        <v>481</v>
      </c>
      <c r="I40" s="12" t="s">
        <v>212</v>
      </c>
      <c r="J40" s="12" t="s">
        <v>482</v>
      </c>
      <c r="K40" s="12" t="s">
        <v>214</v>
      </c>
      <c r="L40" s="12" t="s">
        <v>275</v>
      </c>
      <c r="M40" s="16" t="s">
        <v>216</v>
      </c>
    </row>
    <row r="41" spans="1:13" ht="33.6" customHeight="1" x14ac:dyDescent="0.3">
      <c r="A41" s="12" t="s">
        <v>483</v>
      </c>
      <c r="B41" s="12" t="s">
        <v>124</v>
      </c>
      <c r="C41" s="12" t="s">
        <v>484</v>
      </c>
      <c r="D41" s="12" t="s">
        <v>485</v>
      </c>
      <c r="E41" s="12">
        <v>2022</v>
      </c>
      <c r="F41" s="12" t="s">
        <v>486</v>
      </c>
      <c r="G41" s="12" t="s">
        <v>487</v>
      </c>
      <c r="H41" s="12" t="s">
        <v>488</v>
      </c>
      <c r="I41" s="12" t="s">
        <v>212</v>
      </c>
      <c r="J41" s="12" t="s">
        <v>232</v>
      </c>
      <c r="K41" s="12" t="s">
        <v>214</v>
      </c>
      <c r="L41" s="12" t="s">
        <v>335</v>
      </c>
      <c r="M41" s="16" t="s">
        <v>216</v>
      </c>
    </row>
    <row r="42" spans="1:13" ht="33.6" customHeight="1" x14ac:dyDescent="0.3">
      <c r="A42" s="12" t="s">
        <v>489</v>
      </c>
      <c r="B42" s="12" t="s">
        <v>130</v>
      </c>
      <c r="C42" s="12" t="s">
        <v>490</v>
      </c>
      <c r="D42" s="12" t="s">
        <v>491</v>
      </c>
      <c r="E42" s="12">
        <v>2024</v>
      </c>
      <c r="F42" s="12" t="s">
        <v>492</v>
      </c>
      <c r="G42" s="12" t="s">
        <v>493</v>
      </c>
      <c r="H42" s="12" t="s">
        <v>494</v>
      </c>
      <c r="I42" s="12" t="s">
        <v>212</v>
      </c>
      <c r="J42" s="12" t="s">
        <v>495</v>
      </c>
      <c r="K42" s="12" t="s">
        <v>214</v>
      </c>
      <c r="L42" s="12" t="s">
        <v>496</v>
      </c>
      <c r="M42" s="16" t="s">
        <v>216</v>
      </c>
    </row>
    <row r="43" spans="1:13" ht="33.6" customHeight="1" x14ac:dyDescent="0.3">
      <c r="A43" s="12" t="s">
        <v>497</v>
      </c>
      <c r="B43" s="12" t="s">
        <v>130</v>
      </c>
      <c r="C43" s="12" t="s">
        <v>207</v>
      </c>
      <c r="D43" s="12" t="s">
        <v>498</v>
      </c>
      <c r="E43" s="12">
        <v>2019</v>
      </c>
      <c r="F43" s="12" t="s">
        <v>209</v>
      </c>
      <c r="G43" s="12" t="s">
        <v>499</v>
      </c>
      <c r="H43" s="12" t="s">
        <v>500</v>
      </c>
      <c r="I43" s="12" t="s">
        <v>212</v>
      </c>
      <c r="J43" s="12" t="s">
        <v>213</v>
      </c>
      <c r="K43" s="12" t="s">
        <v>214</v>
      </c>
      <c r="L43" s="12" t="s">
        <v>501</v>
      </c>
      <c r="M43" s="16" t="s">
        <v>216</v>
      </c>
    </row>
    <row r="44" spans="1:13" ht="33.6" customHeight="1" x14ac:dyDescent="0.3">
      <c r="A44" s="12" t="s">
        <v>502</v>
      </c>
      <c r="B44" s="12" t="s">
        <v>130</v>
      </c>
      <c r="C44" s="12" t="s">
        <v>503</v>
      </c>
      <c r="D44" s="12" t="s">
        <v>504</v>
      </c>
      <c r="E44" s="12">
        <v>2024</v>
      </c>
      <c r="F44" s="12" t="s">
        <v>505</v>
      </c>
      <c r="G44" s="12" t="s">
        <v>506</v>
      </c>
      <c r="H44" s="12" t="s">
        <v>507</v>
      </c>
      <c r="I44" s="12" t="s">
        <v>212</v>
      </c>
      <c r="J44" s="12" t="s">
        <v>405</v>
      </c>
      <c r="K44" s="12" t="s">
        <v>214</v>
      </c>
      <c r="L44" s="12" t="s">
        <v>508</v>
      </c>
      <c r="M44" s="16" t="s">
        <v>216</v>
      </c>
    </row>
    <row r="45" spans="1:13" ht="33.6" customHeight="1" x14ac:dyDescent="0.3">
      <c r="A45" s="12" t="s">
        <v>509</v>
      </c>
      <c r="B45" s="12" t="s">
        <v>130</v>
      </c>
      <c r="C45" s="12" t="s">
        <v>510</v>
      </c>
      <c r="D45" s="12" t="s">
        <v>511</v>
      </c>
      <c r="E45" s="12">
        <v>2003</v>
      </c>
      <c r="F45" s="12" t="s">
        <v>512</v>
      </c>
      <c r="G45" s="12" t="s">
        <v>513</v>
      </c>
      <c r="H45" s="12" t="s">
        <v>514</v>
      </c>
      <c r="I45" s="12" t="s">
        <v>212</v>
      </c>
      <c r="J45" s="12" t="s">
        <v>213</v>
      </c>
      <c r="K45" s="12" t="s">
        <v>214</v>
      </c>
      <c r="L45" s="12" t="s">
        <v>515</v>
      </c>
      <c r="M45" s="16" t="s">
        <v>216</v>
      </c>
    </row>
    <row r="46" spans="1:13" ht="33.6" customHeight="1" x14ac:dyDescent="0.3">
      <c r="A46" s="12" t="s">
        <v>516</v>
      </c>
      <c r="B46" s="12" t="s">
        <v>130</v>
      </c>
      <c r="C46" s="12" t="s">
        <v>517</v>
      </c>
      <c r="D46" s="12" t="s">
        <v>518</v>
      </c>
      <c r="E46" s="12">
        <v>2014</v>
      </c>
      <c r="F46" s="12" t="s">
        <v>519</v>
      </c>
      <c r="G46" s="12" t="s">
        <v>520</v>
      </c>
      <c r="H46" s="12" t="s">
        <v>521</v>
      </c>
      <c r="I46" s="12" t="s">
        <v>212</v>
      </c>
      <c r="J46" s="12" t="s">
        <v>522</v>
      </c>
      <c r="K46" s="12" t="s">
        <v>214</v>
      </c>
      <c r="L46" s="12" t="s">
        <v>523</v>
      </c>
      <c r="M46" s="16" t="s">
        <v>216</v>
      </c>
    </row>
    <row r="47" spans="1:13" ht="33.6" customHeight="1" x14ac:dyDescent="0.3">
      <c r="A47" s="12" t="s">
        <v>524</v>
      </c>
      <c r="B47" s="12" t="s">
        <v>130</v>
      </c>
      <c r="C47" s="12" t="s">
        <v>400</v>
      </c>
      <c r="D47" s="12" t="s">
        <v>525</v>
      </c>
      <c r="E47" s="12">
        <v>2025</v>
      </c>
      <c r="F47" s="12" t="s">
        <v>402</v>
      </c>
      <c r="G47" s="12" t="s">
        <v>526</v>
      </c>
      <c r="H47" s="12" t="s">
        <v>527</v>
      </c>
      <c r="I47" s="12" t="s">
        <v>212</v>
      </c>
      <c r="J47" s="12" t="s">
        <v>405</v>
      </c>
      <c r="K47" s="12" t="s">
        <v>214</v>
      </c>
      <c r="L47" s="12" t="s">
        <v>528</v>
      </c>
      <c r="M47" s="16" t="s">
        <v>216</v>
      </c>
    </row>
    <row r="48" spans="1:13" ht="33.6" customHeight="1" x14ac:dyDescent="0.3">
      <c r="A48" s="12" t="s">
        <v>529</v>
      </c>
      <c r="B48" s="12" t="s">
        <v>130</v>
      </c>
      <c r="C48" s="12" t="s">
        <v>530</v>
      </c>
      <c r="D48" s="12" t="s">
        <v>531</v>
      </c>
      <c r="E48" s="12">
        <v>2021</v>
      </c>
      <c r="F48" s="12" t="s">
        <v>532</v>
      </c>
      <c r="G48" s="12" t="s">
        <v>533</v>
      </c>
      <c r="H48" s="12" t="s">
        <v>534</v>
      </c>
      <c r="I48" s="12" t="s">
        <v>212</v>
      </c>
      <c r="J48" s="12" t="s">
        <v>495</v>
      </c>
      <c r="K48" s="12" t="s">
        <v>214</v>
      </c>
      <c r="L48" s="12" t="s">
        <v>535</v>
      </c>
      <c r="M48" s="16" t="s">
        <v>216</v>
      </c>
    </row>
    <row r="49" spans="1:13" ht="33.6" customHeight="1" x14ac:dyDescent="0.3">
      <c r="A49" s="12" t="s">
        <v>536</v>
      </c>
      <c r="B49" s="12" t="s">
        <v>134</v>
      </c>
      <c r="C49" s="12" t="s">
        <v>537</v>
      </c>
      <c r="D49" s="12" t="s">
        <v>538</v>
      </c>
      <c r="E49" s="12">
        <v>2025</v>
      </c>
      <c r="F49" s="12" t="s">
        <v>539</v>
      </c>
      <c r="G49" s="12" t="s">
        <v>540</v>
      </c>
      <c r="H49" s="12" t="s">
        <v>541</v>
      </c>
      <c r="I49" s="12" t="s">
        <v>212</v>
      </c>
      <c r="J49" s="12" t="s">
        <v>542</v>
      </c>
      <c r="K49" s="12" t="s">
        <v>214</v>
      </c>
      <c r="L49" s="12" t="s">
        <v>543</v>
      </c>
      <c r="M49" s="16" t="s">
        <v>216</v>
      </c>
    </row>
    <row r="50" spans="1:13" ht="33.6" customHeight="1" x14ac:dyDescent="0.3">
      <c r="A50" s="12" t="s">
        <v>544</v>
      </c>
      <c r="B50" s="12" t="s">
        <v>134</v>
      </c>
      <c r="C50" s="12" t="s">
        <v>277</v>
      </c>
      <c r="D50" s="12" t="s">
        <v>545</v>
      </c>
      <c r="E50" s="12">
        <v>2024</v>
      </c>
      <c r="F50" s="12" t="s">
        <v>279</v>
      </c>
      <c r="G50" s="12" t="s">
        <v>546</v>
      </c>
      <c r="H50" s="12" t="s">
        <v>547</v>
      </c>
      <c r="I50" s="12" t="s">
        <v>212</v>
      </c>
      <c r="J50" s="12" t="s">
        <v>282</v>
      </c>
      <c r="K50" s="12" t="s">
        <v>214</v>
      </c>
      <c r="L50" s="12" t="s">
        <v>548</v>
      </c>
      <c r="M50" s="16" t="s">
        <v>216</v>
      </c>
    </row>
    <row r="51" spans="1:13" ht="33.6" customHeight="1" x14ac:dyDescent="0.3">
      <c r="A51" s="12" t="s">
        <v>549</v>
      </c>
      <c r="B51" s="12" t="s">
        <v>134</v>
      </c>
      <c r="C51" s="12" t="s">
        <v>393</v>
      </c>
      <c r="D51" s="12" t="s">
        <v>550</v>
      </c>
      <c r="E51" s="12">
        <v>2025</v>
      </c>
      <c r="F51" s="12" t="s">
        <v>395</v>
      </c>
      <c r="G51" s="12" t="s">
        <v>551</v>
      </c>
      <c r="H51" s="12" t="s">
        <v>552</v>
      </c>
      <c r="I51" s="12" t="s">
        <v>212</v>
      </c>
      <c r="J51" s="12" t="s">
        <v>398</v>
      </c>
      <c r="K51" s="12" t="s">
        <v>214</v>
      </c>
      <c r="L51" s="12" t="s">
        <v>553</v>
      </c>
      <c r="M51" s="16" t="s">
        <v>216</v>
      </c>
    </row>
    <row r="52" spans="1:13" ht="33.6" customHeight="1" x14ac:dyDescent="0.3">
      <c r="A52" s="12" t="s">
        <v>554</v>
      </c>
      <c r="B52" s="12" t="s">
        <v>124</v>
      </c>
      <c r="C52" s="12" t="s">
        <v>555</v>
      </c>
      <c r="D52" s="12" t="s">
        <v>556</v>
      </c>
      <c r="E52" s="12" t="s">
        <v>557</v>
      </c>
      <c r="F52" s="12" t="s">
        <v>558</v>
      </c>
      <c r="G52" s="12" t="s">
        <v>559</v>
      </c>
      <c r="H52" s="12" t="s">
        <v>560</v>
      </c>
      <c r="I52" s="12" t="s">
        <v>212</v>
      </c>
      <c r="J52" s="12" t="s">
        <v>561</v>
      </c>
      <c r="K52" s="12" t="s">
        <v>214</v>
      </c>
      <c r="L52" s="12" t="s">
        <v>562</v>
      </c>
      <c r="M52" s="16" t="s">
        <v>563</v>
      </c>
    </row>
    <row r="53" spans="1:13" ht="33.6" customHeight="1" x14ac:dyDescent="0.3">
      <c r="A53" s="12" t="s">
        <v>564</v>
      </c>
      <c r="B53" s="12" t="s">
        <v>124</v>
      </c>
      <c r="C53" s="12" t="s">
        <v>565</v>
      </c>
      <c r="D53" s="12" t="s">
        <v>566</v>
      </c>
      <c r="E53" s="12" t="s">
        <v>557</v>
      </c>
      <c r="F53" s="12" t="s">
        <v>567</v>
      </c>
      <c r="G53" s="12" t="s">
        <v>568</v>
      </c>
      <c r="H53" s="12" t="s">
        <v>569</v>
      </c>
      <c r="I53" s="12" t="s">
        <v>212</v>
      </c>
      <c r="J53" s="12" t="s">
        <v>570</v>
      </c>
      <c r="K53" s="12" t="s">
        <v>214</v>
      </c>
      <c r="L53" s="12" t="s">
        <v>571</v>
      </c>
      <c r="M53" s="16" t="s">
        <v>563</v>
      </c>
    </row>
    <row r="54" spans="1:13" ht="33.6" customHeight="1" x14ac:dyDescent="0.3">
      <c r="A54" s="12" t="s">
        <v>572</v>
      </c>
      <c r="B54" s="12" t="s">
        <v>124</v>
      </c>
      <c r="C54" s="12" t="s">
        <v>573</v>
      </c>
      <c r="D54" s="12" t="s">
        <v>574</v>
      </c>
      <c r="E54" s="12" t="s">
        <v>575</v>
      </c>
      <c r="F54" s="12" t="s">
        <v>576</v>
      </c>
      <c r="G54" s="12" t="s">
        <v>577</v>
      </c>
      <c r="H54" s="12" t="s">
        <v>578</v>
      </c>
      <c r="I54" s="12" t="s">
        <v>212</v>
      </c>
      <c r="J54" s="12" t="s">
        <v>579</v>
      </c>
      <c r="K54" s="12" t="s">
        <v>214</v>
      </c>
      <c r="L54" s="12" t="s">
        <v>580</v>
      </c>
      <c r="M54" s="16" t="s">
        <v>563</v>
      </c>
    </row>
    <row r="55" spans="1:13" ht="33.6" customHeight="1" x14ac:dyDescent="0.3">
      <c r="A55" s="12" t="s">
        <v>581</v>
      </c>
      <c r="B55" s="12" t="s">
        <v>124</v>
      </c>
      <c r="C55" s="12" t="s">
        <v>582</v>
      </c>
      <c r="D55" s="12" t="s">
        <v>583</v>
      </c>
      <c r="E55" s="12" t="s">
        <v>584</v>
      </c>
      <c r="F55" s="12" t="s">
        <v>585</v>
      </c>
      <c r="G55" s="12" t="s">
        <v>586</v>
      </c>
      <c r="H55" s="12" t="s">
        <v>587</v>
      </c>
      <c r="I55" s="12" t="s">
        <v>212</v>
      </c>
      <c r="J55" s="12" t="s">
        <v>588</v>
      </c>
      <c r="K55" s="12" t="s">
        <v>214</v>
      </c>
      <c r="L55" s="12" t="s">
        <v>589</v>
      </c>
      <c r="M55" s="16" t="s">
        <v>563</v>
      </c>
    </row>
    <row r="56" spans="1:13" ht="33.6" customHeight="1" x14ac:dyDescent="0.3">
      <c r="A56" s="12" t="s">
        <v>590</v>
      </c>
      <c r="B56" s="12" t="s">
        <v>124</v>
      </c>
      <c r="C56" s="12" t="s">
        <v>591</v>
      </c>
      <c r="D56" s="12" t="s">
        <v>592</v>
      </c>
      <c r="E56" s="12" t="s">
        <v>575</v>
      </c>
      <c r="F56" s="12" t="s">
        <v>593</v>
      </c>
      <c r="G56" s="12" t="s">
        <v>594</v>
      </c>
      <c r="H56" s="12" t="s">
        <v>595</v>
      </c>
      <c r="I56" s="12" t="s">
        <v>212</v>
      </c>
      <c r="J56" s="12" t="s">
        <v>596</v>
      </c>
      <c r="K56" s="12" t="s">
        <v>214</v>
      </c>
      <c r="L56" s="12" t="s">
        <v>597</v>
      </c>
      <c r="M56" s="16" t="s">
        <v>563</v>
      </c>
    </row>
    <row r="57" spans="1:13" ht="33.6" customHeight="1" x14ac:dyDescent="0.3">
      <c r="A57" s="12" t="s">
        <v>598</v>
      </c>
      <c r="B57" s="12" t="s">
        <v>124</v>
      </c>
      <c r="C57" s="12" t="s">
        <v>599</v>
      </c>
      <c r="D57" s="12" t="s">
        <v>600</v>
      </c>
      <c r="E57" s="12" t="s">
        <v>557</v>
      </c>
      <c r="F57" s="12" t="s">
        <v>601</v>
      </c>
      <c r="G57" s="12" t="s">
        <v>602</v>
      </c>
      <c r="H57" s="12" t="s">
        <v>603</v>
      </c>
      <c r="I57" s="12" t="s">
        <v>212</v>
      </c>
      <c r="J57" s="12" t="s">
        <v>604</v>
      </c>
      <c r="K57" s="12" t="s">
        <v>214</v>
      </c>
      <c r="L57" s="12" t="s">
        <v>605</v>
      </c>
      <c r="M57" s="16" t="s">
        <v>563</v>
      </c>
    </row>
    <row r="58" spans="1:13" ht="33.6" customHeight="1" x14ac:dyDescent="0.3">
      <c r="A58" s="12" t="s">
        <v>606</v>
      </c>
      <c r="B58" s="12" t="s">
        <v>124</v>
      </c>
      <c r="C58" s="12" t="s">
        <v>607</v>
      </c>
      <c r="D58" s="12" t="s">
        <v>608</v>
      </c>
      <c r="E58" s="12" t="s">
        <v>557</v>
      </c>
      <c r="F58" s="12" t="s">
        <v>609</v>
      </c>
      <c r="G58" s="12" t="s">
        <v>610</v>
      </c>
      <c r="H58" s="12" t="s">
        <v>611</v>
      </c>
      <c r="I58" s="12" t="s">
        <v>212</v>
      </c>
      <c r="J58" s="12" t="s">
        <v>612</v>
      </c>
      <c r="K58" s="12" t="s">
        <v>214</v>
      </c>
      <c r="L58" s="12" t="s">
        <v>613</v>
      </c>
      <c r="M58" s="16" t="s">
        <v>563</v>
      </c>
    </row>
    <row r="59" spans="1:13" ht="33.6" customHeight="1" x14ac:dyDescent="0.3">
      <c r="A59" s="12" t="s">
        <v>614</v>
      </c>
      <c r="B59" s="12" t="s">
        <v>124</v>
      </c>
      <c r="C59" s="12" t="s">
        <v>615</v>
      </c>
      <c r="D59" s="12" t="s">
        <v>616</v>
      </c>
      <c r="E59" s="12" t="s">
        <v>557</v>
      </c>
      <c r="F59" s="12" t="s">
        <v>617</v>
      </c>
      <c r="G59" s="12" t="s">
        <v>618</v>
      </c>
      <c r="H59" s="12" t="s">
        <v>619</v>
      </c>
      <c r="I59" s="12" t="s">
        <v>212</v>
      </c>
      <c r="J59" s="12" t="s">
        <v>620</v>
      </c>
      <c r="K59" s="12" t="s">
        <v>214</v>
      </c>
      <c r="L59" s="12" t="s">
        <v>621</v>
      </c>
      <c r="M59" s="16" t="s">
        <v>563</v>
      </c>
    </row>
    <row r="60" spans="1:13" ht="33.6" customHeight="1" x14ac:dyDescent="0.3">
      <c r="A60" s="12" t="s">
        <v>622</v>
      </c>
      <c r="B60" s="12" t="s">
        <v>124</v>
      </c>
      <c r="C60" s="12" t="s">
        <v>623</v>
      </c>
      <c r="D60" s="12" t="s">
        <v>624</v>
      </c>
      <c r="E60" s="12" t="s">
        <v>557</v>
      </c>
      <c r="F60" s="12" t="s">
        <v>625</v>
      </c>
      <c r="G60" s="12" t="s">
        <v>626</v>
      </c>
      <c r="H60" s="12" t="s">
        <v>627</v>
      </c>
      <c r="I60" s="12" t="s">
        <v>212</v>
      </c>
      <c r="J60" s="12" t="s">
        <v>628</v>
      </c>
      <c r="K60" s="12" t="s">
        <v>629</v>
      </c>
      <c r="L60" s="12" t="s">
        <v>630</v>
      </c>
      <c r="M60" s="16" t="s">
        <v>563</v>
      </c>
    </row>
    <row r="61" spans="1:13" ht="33.6" customHeight="1" x14ac:dyDescent="0.3">
      <c r="A61" s="12" t="s">
        <v>631</v>
      </c>
      <c r="B61" s="12" t="s">
        <v>124</v>
      </c>
      <c r="C61" s="12" t="s">
        <v>632</v>
      </c>
      <c r="D61" s="12" t="s">
        <v>633</v>
      </c>
      <c r="E61" s="12" t="s">
        <v>634</v>
      </c>
      <c r="F61" s="12" t="s">
        <v>635</v>
      </c>
      <c r="G61" s="12" t="s">
        <v>636</v>
      </c>
      <c r="H61" s="12" t="s">
        <v>637</v>
      </c>
      <c r="I61" s="12" t="s">
        <v>212</v>
      </c>
      <c r="J61" s="12" t="s">
        <v>638</v>
      </c>
      <c r="K61" s="12" t="s">
        <v>214</v>
      </c>
      <c r="L61" s="12" t="s">
        <v>639</v>
      </c>
      <c r="M61" s="16" t="s">
        <v>563</v>
      </c>
    </row>
    <row r="62" spans="1:13" ht="33.6" customHeight="1" x14ac:dyDescent="0.3">
      <c r="A62" s="12" t="s">
        <v>640</v>
      </c>
      <c r="B62" s="12" t="s">
        <v>124</v>
      </c>
      <c r="C62" s="12" t="s">
        <v>641</v>
      </c>
      <c r="D62" s="12" t="s">
        <v>642</v>
      </c>
      <c r="E62" s="12" t="s">
        <v>575</v>
      </c>
      <c r="F62" s="12" t="s">
        <v>643</v>
      </c>
      <c r="G62" s="12" t="s">
        <v>644</v>
      </c>
      <c r="H62" s="12" t="s">
        <v>645</v>
      </c>
      <c r="I62" s="12" t="s">
        <v>212</v>
      </c>
      <c r="J62" s="12" t="s">
        <v>646</v>
      </c>
      <c r="K62" s="12" t="s">
        <v>214</v>
      </c>
      <c r="L62" s="12" t="s">
        <v>647</v>
      </c>
      <c r="M62" s="16" t="s">
        <v>563</v>
      </c>
    </row>
    <row r="63" spans="1:13" ht="33.6" customHeight="1" x14ac:dyDescent="0.3">
      <c r="A63" s="12" t="s">
        <v>648</v>
      </c>
      <c r="B63" s="12" t="s">
        <v>124</v>
      </c>
      <c r="C63" s="12" t="s">
        <v>649</v>
      </c>
      <c r="D63" s="12" t="s">
        <v>650</v>
      </c>
      <c r="E63" s="12" t="s">
        <v>575</v>
      </c>
      <c r="F63" s="12" t="s">
        <v>651</v>
      </c>
      <c r="G63" s="12" t="s">
        <v>652</v>
      </c>
      <c r="H63" s="12" t="s">
        <v>653</v>
      </c>
      <c r="I63" s="12" t="s">
        <v>212</v>
      </c>
      <c r="J63" s="12" t="s">
        <v>638</v>
      </c>
      <c r="K63" s="12" t="s">
        <v>214</v>
      </c>
      <c r="L63" s="12" t="s">
        <v>654</v>
      </c>
      <c r="M63" s="16" t="s">
        <v>563</v>
      </c>
    </row>
    <row r="64" spans="1:13" ht="33.6" customHeight="1" x14ac:dyDescent="0.3">
      <c r="A64" s="12" t="s">
        <v>655</v>
      </c>
      <c r="B64" s="12" t="s">
        <v>134</v>
      </c>
      <c r="C64" s="12" t="s">
        <v>656</v>
      </c>
      <c r="D64" s="12" t="s">
        <v>657</v>
      </c>
      <c r="E64" s="12" t="s">
        <v>557</v>
      </c>
      <c r="F64" s="12" t="s">
        <v>658</v>
      </c>
      <c r="G64" s="12" t="s">
        <v>356</v>
      </c>
      <c r="H64" s="12" t="s">
        <v>659</v>
      </c>
      <c r="I64" s="12" t="s">
        <v>212</v>
      </c>
      <c r="J64" s="12" t="s">
        <v>660</v>
      </c>
      <c r="K64" s="12" t="s">
        <v>214</v>
      </c>
      <c r="L64" s="12" t="s">
        <v>661</v>
      </c>
      <c r="M64" s="16" t="s">
        <v>563</v>
      </c>
    </row>
    <row r="65" spans="1:13" ht="33.6" customHeight="1" x14ac:dyDescent="0.3">
      <c r="A65" s="12" t="s">
        <v>662</v>
      </c>
      <c r="B65" s="12" t="s">
        <v>130</v>
      </c>
      <c r="C65" s="12" t="s">
        <v>663</v>
      </c>
      <c r="D65" s="12" t="s">
        <v>664</v>
      </c>
      <c r="E65" s="12">
        <v>2024</v>
      </c>
      <c r="F65" s="12" t="s">
        <v>665</v>
      </c>
      <c r="G65" s="12" t="s">
        <v>666</v>
      </c>
      <c r="H65" s="12" t="s">
        <v>667</v>
      </c>
      <c r="I65" s="12" t="s">
        <v>212</v>
      </c>
      <c r="J65" s="12" t="s">
        <v>668</v>
      </c>
      <c r="K65" s="12" t="s">
        <v>214</v>
      </c>
      <c r="L65" s="12" t="s">
        <v>669</v>
      </c>
      <c r="M65" s="16" t="s">
        <v>563</v>
      </c>
    </row>
    <row r="66" spans="1:13" ht="33.6" customHeight="1" x14ac:dyDescent="0.3">
      <c r="A66" s="12" t="s">
        <v>670</v>
      </c>
      <c r="B66" s="12" t="s">
        <v>130</v>
      </c>
      <c r="C66" s="12" t="s">
        <v>671</v>
      </c>
      <c r="D66" s="12" t="s">
        <v>672</v>
      </c>
      <c r="E66" s="12">
        <v>2026</v>
      </c>
      <c r="F66" s="12" t="s">
        <v>673</v>
      </c>
      <c r="G66" s="12" t="s">
        <v>674</v>
      </c>
      <c r="H66" s="12" t="s">
        <v>675</v>
      </c>
      <c r="I66" s="12" t="s">
        <v>212</v>
      </c>
      <c r="J66" s="12" t="s">
        <v>668</v>
      </c>
      <c r="K66" s="12" t="s">
        <v>214</v>
      </c>
      <c r="L66" s="12" t="s">
        <v>669</v>
      </c>
      <c r="M66" s="16" t="s">
        <v>563</v>
      </c>
    </row>
    <row r="67" spans="1:13" ht="33.6" customHeight="1" x14ac:dyDescent="0.3">
      <c r="A67" s="12" t="s">
        <v>676</v>
      </c>
      <c r="B67" s="12" t="s">
        <v>130</v>
      </c>
      <c r="C67" s="12" t="s">
        <v>677</v>
      </c>
      <c r="D67" s="12" t="s">
        <v>678</v>
      </c>
      <c r="E67" s="12">
        <v>2026</v>
      </c>
      <c r="F67" s="12" t="s">
        <v>679</v>
      </c>
      <c r="G67" s="12" t="s">
        <v>680</v>
      </c>
      <c r="H67" s="12" t="s">
        <v>681</v>
      </c>
      <c r="I67" s="12" t="s">
        <v>212</v>
      </c>
      <c r="J67" s="12" t="s">
        <v>668</v>
      </c>
      <c r="K67" s="12" t="s">
        <v>214</v>
      </c>
      <c r="L67" s="12" t="s">
        <v>669</v>
      </c>
      <c r="M67" s="16" t="s">
        <v>563</v>
      </c>
    </row>
    <row r="68" spans="1:13" ht="33.6" customHeight="1" x14ac:dyDescent="0.3">
      <c r="A68" s="12" t="s">
        <v>682</v>
      </c>
      <c r="B68" s="12" t="s">
        <v>130</v>
      </c>
      <c r="C68" s="12" t="s">
        <v>683</v>
      </c>
      <c r="D68" s="12" t="s">
        <v>684</v>
      </c>
      <c r="E68" s="12">
        <v>2025</v>
      </c>
      <c r="F68" s="12" t="s">
        <v>685</v>
      </c>
      <c r="G68" s="12" t="s">
        <v>686</v>
      </c>
      <c r="H68" s="12" t="s">
        <v>687</v>
      </c>
      <c r="I68" s="12" t="s">
        <v>212</v>
      </c>
      <c r="J68" s="12" t="s">
        <v>668</v>
      </c>
      <c r="K68" s="12" t="s">
        <v>214</v>
      </c>
      <c r="L68" s="12" t="s">
        <v>688</v>
      </c>
      <c r="M68" s="16" t="s">
        <v>563</v>
      </c>
    </row>
    <row r="69" spans="1:13" ht="33.6" customHeight="1" x14ac:dyDescent="0.3">
      <c r="A69" s="12" t="s">
        <v>689</v>
      </c>
      <c r="B69" s="12" t="s">
        <v>130</v>
      </c>
      <c r="C69" s="12" t="s">
        <v>690</v>
      </c>
      <c r="D69" s="12" t="s">
        <v>691</v>
      </c>
      <c r="E69" s="12">
        <v>2026</v>
      </c>
      <c r="F69" s="12" t="s">
        <v>692</v>
      </c>
      <c r="G69" s="12" t="s">
        <v>693</v>
      </c>
      <c r="H69" s="12" t="s">
        <v>694</v>
      </c>
      <c r="I69" s="12" t="s">
        <v>212</v>
      </c>
      <c r="J69" s="12" t="s">
        <v>695</v>
      </c>
      <c r="K69" s="12" t="s">
        <v>214</v>
      </c>
      <c r="L69" s="12" t="s">
        <v>696</v>
      </c>
      <c r="M69" s="16" t="s">
        <v>563</v>
      </c>
    </row>
    <row r="70" spans="1:13" ht="33.6" customHeight="1" x14ac:dyDescent="0.3">
      <c r="A70" s="12" t="s">
        <v>697</v>
      </c>
      <c r="B70" s="12" t="s">
        <v>130</v>
      </c>
      <c r="C70" s="12" t="s">
        <v>698</v>
      </c>
      <c r="D70" s="12" t="s">
        <v>699</v>
      </c>
      <c r="E70" s="12">
        <v>2024</v>
      </c>
      <c r="F70" s="12" t="s">
        <v>700</v>
      </c>
      <c r="G70" s="12" t="s">
        <v>701</v>
      </c>
      <c r="H70" s="12" t="s">
        <v>702</v>
      </c>
      <c r="I70" s="12" t="s">
        <v>212</v>
      </c>
      <c r="J70" s="12" t="s">
        <v>703</v>
      </c>
      <c r="K70" s="12" t="s">
        <v>214</v>
      </c>
      <c r="L70" s="12" t="s">
        <v>696</v>
      </c>
      <c r="M70" s="16" t="s">
        <v>563</v>
      </c>
    </row>
    <row r="71" spans="1:13" ht="33.6" customHeight="1" x14ac:dyDescent="0.3">
      <c r="A71" s="12" t="s">
        <v>704</v>
      </c>
      <c r="B71" s="12" t="s">
        <v>130</v>
      </c>
      <c r="C71" s="12" t="s">
        <v>705</v>
      </c>
      <c r="D71" s="12" t="s">
        <v>706</v>
      </c>
      <c r="E71" s="12">
        <v>2024</v>
      </c>
      <c r="F71" s="12" t="s">
        <v>707</v>
      </c>
      <c r="G71" s="12" t="s">
        <v>708</v>
      </c>
      <c r="H71" s="12" t="s">
        <v>709</v>
      </c>
      <c r="I71" s="12" t="s">
        <v>212</v>
      </c>
      <c r="J71" s="12" t="s">
        <v>710</v>
      </c>
      <c r="K71" s="12" t="s">
        <v>214</v>
      </c>
      <c r="L71" s="12" t="s">
        <v>711</v>
      </c>
      <c r="M71" s="16" t="s">
        <v>563</v>
      </c>
    </row>
    <row r="72" spans="1:13" ht="33.6" customHeight="1" x14ac:dyDescent="0.3"/>
    <row r="73" spans="1:13" ht="33.6" customHeight="1" x14ac:dyDescent="0.3">
      <c r="A73" s="15"/>
      <c r="B73" s="15"/>
    </row>
    <row r="74" spans="1:13" ht="33.6" customHeight="1" x14ac:dyDescent="0.3"/>
    <row r="75" spans="1:13" ht="33.6" customHeight="1" x14ac:dyDescent="0.3">
      <c r="A75" s="19"/>
      <c r="B75" s="19"/>
    </row>
    <row r="76" spans="1:13" ht="33.6" customHeight="1" x14ac:dyDescent="0.3">
      <c r="A76" s="20"/>
      <c r="B76" s="20"/>
    </row>
    <row r="77" spans="1:13" ht="33.6" customHeight="1" x14ac:dyDescent="0.3">
      <c r="A77" s="20"/>
      <c r="B77" s="20"/>
    </row>
    <row r="78" spans="1:13" ht="33.6" customHeight="1" x14ac:dyDescent="0.3">
      <c r="A78" s="21"/>
      <c r="B78" s="21"/>
    </row>
    <row r="79" spans="1:13" ht="33.6" customHeight="1" x14ac:dyDescent="0.3"/>
    <row r="80" spans="1:13"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57"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16.8" customHeight="1" x14ac:dyDescent="0.3"/>
    <row r="591" ht="51" customHeight="1" x14ac:dyDescent="0.3"/>
  </sheetData>
  <autoFilter ref="A3:L591" xr:uid="{00000000-0009-0000-0000-000003000000}"/>
  <mergeCells count="2">
    <mergeCell ref="A2:M2"/>
    <mergeCell ref="A1:M1"/>
  </mergeCells>
  <dataValidations count="1">
    <dataValidation type="list" allowBlank="1" sqref="M4:M500" xr:uid="{00000000-0002-0000-0300-000000000000}">
      <formula1>"Fitopatológico,Tecnológico"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91"/>
  <sheetViews>
    <sheetView topLeftCell="C6" zoomScale="59" zoomScaleNormal="81" workbookViewId="0">
      <selection activeCell="M18" sqref="M18"/>
    </sheetView>
  </sheetViews>
  <sheetFormatPr baseColWidth="10" defaultColWidth="8.88671875" defaultRowHeight="14.4" x14ac:dyDescent="0.3"/>
  <cols>
    <col min="1" max="1" width="12" customWidth="1"/>
    <col min="2" max="2" width="16" customWidth="1"/>
    <col min="3" max="3" width="60" customWidth="1"/>
    <col min="4" max="4" width="24" customWidth="1"/>
    <col min="5" max="5" width="55" customWidth="1"/>
    <col min="6" max="6" width="60" customWidth="1"/>
    <col min="7" max="7" width="11" customWidth="1"/>
    <col min="8" max="8" width="25" customWidth="1"/>
    <col min="9" max="9" width="10" customWidth="1"/>
    <col min="10" max="10" width="16.33203125" customWidth="1"/>
    <col min="12" max="12" width="46" customWidth="1"/>
    <col min="13" max="13" width="12" customWidth="1"/>
  </cols>
  <sheetData>
    <row r="1" spans="1:13" ht="17.55" customHeight="1" x14ac:dyDescent="0.3">
      <c r="A1" s="102" t="s">
        <v>14</v>
      </c>
      <c r="B1" s="103"/>
      <c r="C1" s="103"/>
      <c r="D1" s="103"/>
      <c r="E1" s="103"/>
      <c r="F1" s="103"/>
      <c r="G1" s="103"/>
      <c r="H1" s="103"/>
      <c r="I1" s="103"/>
    </row>
    <row r="2" spans="1:13" ht="28.8" customHeight="1" x14ac:dyDescent="0.3">
      <c r="A2" s="104" t="s">
        <v>712</v>
      </c>
      <c r="B2" s="103"/>
      <c r="C2" s="103"/>
      <c r="D2" s="103"/>
      <c r="E2" s="103"/>
      <c r="F2" s="103"/>
      <c r="G2" s="103"/>
      <c r="H2" s="103"/>
      <c r="I2" s="103"/>
    </row>
    <row r="3" spans="1:13" ht="28.8" customHeight="1" x14ac:dyDescent="0.3">
      <c r="A3" s="1" t="s">
        <v>713</v>
      </c>
      <c r="B3" s="1" t="s">
        <v>115</v>
      </c>
      <c r="C3" s="1" t="s">
        <v>194</v>
      </c>
      <c r="D3" s="1" t="s">
        <v>197</v>
      </c>
      <c r="E3" s="1" t="s">
        <v>714</v>
      </c>
      <c r="F3" s="1" t="s">
        <v>715</v>
      </c>
      <c r="G3" s="1" t="s">
        <v>716</v>
      </c>
      <c r="H3" s="1" t="s">
        <v>717</v>
      </c>
      <c r="I3" s="1" t="s">
        <v>718</v>
      </c>
      <c r="J3" s="9"/>
      <c r="L3" s="69" t="s">
        <v>719</v>
      </c>
      <c r="M3" s="70"/>
    </row>
    <row r="4" spans="1:13" ht="45" customHeight="1" x14ac:dyDescent="0.3">
      <c r="A4" s="14" t="s">
        <v>206</v>
      </c>
      <c r="B4" s="14" t="s">
        <v>124</v>
      </c>
      <c r="C4" s="14" t="s">
        <v>207</v>
      </c>
      <c r="D4" s="14" t="s">
        <v>209</v>
      </c>
      <c r="E4" s="14" t="s">
        <v>720</v>
      </c>
      <c r="F4" s="14" t="s">
        <v>721</v>
      </c>
      <c r="G4" s="14" t="s">
        <v>722</v>
      </c>
      <c r="H4" s="14" t="s">
        <v>723</v>
      </c>
      <c r="I4" s="14" t="s">
        <v>724</v>
      </c>
      <c r="J4" s="14"/>
      <c r="L4" s="71" t="s">
        <v>725</v>
      </c>
      <c r="M4" s="72">
        <f>Cadenas_de_busqueda!H29</f>
        <v>78</v>
      </c>
    </row>
    <row r="5" spans="1:13" ht="45" customHeight="1" x14ac:dyDescent="0.3">
      <c r="A5" s="14" t="s">
        <v>218</v>
      </c>
      <c r="B5" s="14" t="s">
        <v>124</v>
      </c>
      <c r="C5" s="14" t="s">
        <v>219</v>
      </c>
      <c r="D5" s="14" t="s">
        <v>221</v>
      </c>
      <c r="E5" s="14" t="s">
        <v>720</v>
      </c>
      <c r="F5" s="14" t="s">
        <v>721</v>
      </c>
      <c r="G5" s="14" t="s">
        <v>722</v>
      </c>
      <c r="H5" s="14" t="s">
        <v>723</v>
      </c>
      <c r="I5" s="14" t="s">
        <v>724</v>
      </c>
      <c r="J5" s="14"/>
      <c r="L5" s="71" t="s">
        <v>726</v>
      </c>
      <c r="M5" s="72">
        <f>Cadenas_de_busqueda!H30</f>
        <v>10</v>
      </c>
    </row>
    <row r="6" spans="1:13" ht="45" customHeight="1" x14ac:dyDescent="0.3">
      <c r="A6" s="14" t="s">
        <v>226</v>
      </c>
      <c r="B6" s="14" t="s">
        <v>124</v>
      </c>
      <c r="C6" s="14" t="s">
        <v>227</v>
      </c>
      <c r="D6" s="14" t="s">
        <v>229</v>
      </c>
      <c r="E6" s="14" t="s">
        <v>720</v>
      </c>
      <c r="F6" s="14" t="s">
        <v>721</v>
      </c>
      <c r="G6" s="14" t="s">
        <v>722</v>
      </c>
      <c r="H6" s="14" t="s">
        <v>723</v>
      </c>
      <c r="I6" s="14" t="s">
        <v>724</v>
      </c>
      <c r="J6" s="14"/>
      <c r="L6" s="71" t="s">
        <v>727</v>
      </c>
      <c r="M6" s="72">
        <f>COUNTA($A$4:$A$71)</f>
        <v>68</v>
      </c>
    </row>
    <row r="7" spans="1:13" ht="45" customHeight="1" x14ac:dyDescent="0.3">
      <c r="A7" s="14" t="s">
        <v>235</v>
      </c>
      <c r="B7" s="14" t="s">
        <v>124</v>
      </c>
      <c r="C7" s="14" t="s">
        <v>236</v>
      </c>
      <c r="D7" s="14" t="s">
        <v>238</v>
      </c>
      <c r="E7" s="14" t="s">
        <v>720</v>
      </c>
      <c r="F7" s="14" t="s">
        <v>721</v>
      </c>
      <c r="G7" s="14" t="s">
        <v>722</v>
      </c>
      <c r="H7" s="14" t="s">
        <v>723</v>
      </c>
      <c r="I7" s="14" t="s">
        <v>724</v>
      </c>
      <c r="J7" s="14"/>
      <c r="L7" s="73" t="s">
        <v>728</v>
      </c>
      <c r="M7" s="74">
        <f>COUNTIF($I$4:$I$71,"Excluir")</f>
        <v>13</v>
      </c>
    </row>
    <row r="8" spans="1:13" ht="45" customHeight="1" x14ac:dyDescent="0.3">
      <c r="A8" s="14" t="s">
        <v>243</v>
      </c>
      <c r="B8" s="14" t="s">
        <v>124</v>
      </c>
      <c r="C8" s="14" t="s">
        <v>244</v>
      </c>
      <c r="D8" s="14" t="s">
        <v>246</v>
      </c>
      <c r="E8" s="14" t="s">
        <v>720</v>
      </c>
      <c r="F8" s="14" t="s">
        <v>721</v>
      </c>
      <c r="G8" s="14" t="s">
        <v>722</v>
      </c>
      <c r="H8" s="14" t="s">
        <v>723</v>
      </c>
      <c r="I8" s="14" t="s">
        <v>724</v>
      </c>
      <c r="J8" s="14"/>
      <c r="L8" s="71" t="s">
        <v>729</v>
      </c>
      <c r="M8" s="72">
        <f>COUNTIF($E$4:$E$71,"Duplicado")</f>
        <v>4</v>
      </c>
    </row>
    <row r="9" spans="1:13" ht="45" customHeight="1" x14ac:dyDescent="0.3">
      <c r="A9" s="14" t="s">
        <v>251</v>
      </c>
      <c r="B9" s="14" t="s">
        <v>124</v>
      </c>
      <c r="C9" s="14" t="s">
        <v>252</v>
      </c>
      <c r="D9" s="14" t="s">
        <v>254</v>
      </c>
      <c r="E9" s="14" t="s">
        <v>720</v>
      </c>
      <c r="F9" s="14" t="s">
        <v>721</v>
      </c>
      <c r="G9" s="14" t="s">
        <v>722</v>
      </c>
      <c r="H9" s="14" t="s">
        <v>723</v>
      </c>
      <c r="I9" s="14" t="s">
        <v>724</v>
      </c>
      <c r="J9" s="14"/>
      <c r="L9" s="71" t="s">
        <v>730</v>
      </c>
      <c r="M9" s="72">
        <f>COUNTIF($E$4:$E$71,"Revisión sistemática")</f>
        <v>8</v>
      </c>
    </row>
    <row r="10" spans="1:13" ht="45" customHeight="1" x14ac:dyDescent="0.3">
      <c r="A10" s="14" t="s">
        <v>259</v>
      </c>
      <c r="B10" s="14" t="s">
        <v>124</v>
      </c>
      <c r="C10" s="14" t="s">
        <v>260</v>
      </c>
      <c r="D10" s="14" t="s">
        <v>262</v>
      </c>
      <c r="E10" s="14" t="s">
        <v>720</v>
      </c>
      <c r="F10" s="14" t="s">
        <v>721</v>
      </c>
      <c r="G10" s="14" t="s">
        <v>722</v>
      </c>
      <c r="H10" s="14" t="s">
        <v>723</v>
      </c>
      <c r="I10" s="14" t="s">
        <v>724</v>
      </c>
      <c r="J10" s="14"/>
      <c r="L10" s="71" t="s">
        <v>731</v>
      </c>
      <c r="M10" s="72">
        <f>COUNTIF($E$4:$E$71,"Revisión de literatura")</f>
        <v>1</v>
      </c>
    </row>
    <row r="11" spans="1:13" ht="45" customHeight="1" x14ac:dyDescent="0.3">
      <c r="A11" s="14" t="s">
        <v>268</v>
      </c>
      <c r="B11" s="14" t="s">
        <v>124</v>
      </c>
      <c r="C11" s="14" t="s">
        <v>269</v>
      </c>
      <c r="D11" s="14" t="s">
        <v>271</v>
      </c>
      <c r="E11" s="14" t="s">
        <v>720</v>
      </c>
      <c r="F11" s="14" t="s">
        <v>721</v>
      </c>
      <c r="G11" s="14" t="s">
        <v>722</v>
      </c>
      <c r="H11" s="14" t="s">
        <v>723</v>
      </c>
      <c r="I11" s="14" t="s">
        <v>724</v>
      </c>
      <c r="J11" s="14"/>
      <c r="L11" s="73" t="s">
        <v>732</v>
      </c>
      <c r="M11" s="74">
        <f>COUNTIF($I$4:$I$71,"Mantener")</f>
        <v>55</v>
      </c>
    </row>
    <row r="12" spans="1:13" ht="45" customHeight="1" x14ac:dyDescent="0.3">
      <c r="A12" s="14" t="s">
        <v>276</v>
      </c>
      <c r="B12" s="14" t="s">
        <v>124</v>
      </c>
      <c r="C12" s="14" t="s">
        <v>277</v>
      </c>
      <c r="D12" s="14" t="s">
        <v>279</v>
      </c>
      <c r="E12" s="14" t="s">
        <v>720</v>
      </c>
      <c r="F12" s="14" t="s">
        <v>721</v>
      </c>
      <c r="G12" s="14" t="s">
        <v>722</v>
      </c>
      <c r="H12" s="14" t="s">
        <v>723</v>
      </c>
      <c r="I12" s="14" t="s">
        <v>724</v>
      </c>
      <c r="J12" s="14"/>
      <c r="L12" s="71" t="s">
        <v>733</v>
      </c>
      <c r="M12" s="72">
        <f>COUNTIFS($A$4:$A$71,"A*",$I$4:$I$71,"Mantener")</f>
        <v>43</v>
      </c>
    </row>
    <row r="13" spans="1:13" ht="45" customHeight="1" x14ac:dyDescent="0.3">
      <c r="A13" s="14" t="s">
        <v>284</v>
      </c>
      <c r="B13" s="14" t="s">
        <v>124</v>
      </c>
      <c r="C13" s="14" t="s">
        <v>285</v>
      </c>
      <c r="D13" s="14" t="s">
        <v>287</v>
      </c>
      <c r="E13" s="14" t="s">
        <v>720</v>
      </c>
      <c r="F13" s="14" t="s">
        <v>721</v>
      </c>
      <c r="G13" s="14" t="s">
        <v>722</v>
      </c>
      <c r="H13" s="14" t="s">
        <v>723</v>
      </c>
      <c r="I13" s="14" t="s">
        <v>724</v>
      </c>
      <c r="J13" s="14"/>
      <c r="L13" s="71" t="s">
        <v>734</v>
      </c>
      <c r="M13" s="72">
        <f>COUNTIFS($A$4:$A$71,"T*",$I$4:$I$71,"Mantener")</f>
        <v>12</v>
      </c>
    </row>
    <row r="14" spans="1:13" ht="45" customHeight="1" x14ac:dyDescent="0.3">
      <c r="A14" s="14" t="s">
        <v>291</v>
      </c>
      <c r="B14" s="14" t="s">
        <v>124</v>
      </c>
      <c r="C14" s="14" t="s">
        <v>292</v>
      </c>
      <c r="D14" s="14" t="s">
        <v>294</v>
      </c>
      <c r="E14" s="14" t="s">
        <v>720</v>
      </c>
      <c r="F14" s="14" t="s">
        <v>721</v>
      </c>
      <c r="G14" s="14" t="s">
        <v>722</v>
      </c>
      <c r="H14" s="14" t="s">
        <v>723</v>
      </c>
      <c r="I14" s="14" t="s">
        <v>724</v>
      </c>
      <c r="J14" s="14"/>
      <c r="L14" s="73" t="s">
        <v>735</v>
      </c>
      <c r="M14" s="74"/>
    </row>
    <row r="15" spans="1:13" ht="45" customHeight="1" x14ac:dyDescent="0.3">
      <c r="A15" s="14" t="s">
        <v>298</v>
      </c>
      <c r="B15" s="14" t="s">
        <v>124</v>
      </c>
      <c r="C15" s="14" t="s">
        <v>299</v>
      </c>
      <c r="D15" s="14" t="s">
        <v>301</v>
      </c>
      <c r="E15" s="14" t="s">
        <v>720</v>
      </c>
      <c r="F15" s="14" t="s">
        <v>721</v>
      </c>
      <c r="G15" s="14" t="s">
        <v>722</v>
      </c>
      <c r="H15" s="14" t="s">
        <v>723</v>
      </c>
      <c r="I15" s="14" t="s">
        <v>724</v>
      </c>
      <c r="J15" s="14"/>
      <c r="L15" s="71" t="s">
        <v>736</v>
      </c>
      <c r="M15" s="72">
        <f>COUNTIFS($B$4:$B$71,"Scopus",$I$4:$I$71,"Mantener")</f>
        <v>49</v>
      </c>
    </row>
    <row r="16" spans="1:13" ht="45" customHeight="1" x14ac:dyDescent="0.3">
      <c r="A16" s="14" t="s">
        <v>306</v>
      </c>
      <c r="B16" s="14" t="s">
        <v>124</v>
      </c>
      <c r="C16" s="14" t="s">
        <v>307</v>
      </c>
      <c r="D16" s="14" t="s">
        <v>309</v>
      </c>
      <c r="E16" s="14" t="s">
        <v>720</v>
      </c>
      <c r="F16" s="14" t="s">
        <v>721</v>
      </c>
      <c r="G16" s="14" t="s">
        <v>722</v>
      </c>
      <c r="H16" s="14" t="s">
        <v>723</v>
      </c>
      <c r="I16" s="14" t="s">
        <v>724</v>
      </c>
      <c r="J16" s="14"/>
      <c r="L16" s="71" t="s">
        <v>737</v>
      </c>
      <c r="M16" s="72">
        <f>COUNTIFS($B$4:$B$71,"Science Direct",$I$4:$I$71,"Mantener")</f>
        <v>5</v>
      </c>
    </row>
    <row r="17" spans="1:13" ht="45" customHeight="1" x14ac:dyDescent="0.3">
      <c r="A17" s="14" t="s">
        <v>313</v>
      </c>
      <c r="B17" s="14" t="s">
        <v>124</v>
      </c>
      <c r="C17" s="14" t="s">
        <v>314</v>
      </c>
      <c r="D17" s="14" t="s">
        <v>316</v>
      </c>
      <c r="E17" s="14" t="s">
        <v>720</v>
      </c>
      <c r="F17" s="14" t="s">
        <v>721</v>
      </c>
      <c r="G17" s="14" t="s">
        <v>722</v>
      </c>
      <c r="H17" s="14" t="s">
        <v>723</v>
      </c>
      <c r="I17" s="14" t="s">
        <v>724</v>
      </c>
      <c r="J17" s="14"/>
      <c r="L17" s="71" t="s">
        <v>738</v>
      </c>
      <c r="M17" s="72">
        <f>COUNTIFS($B$4:$B$71,"Springer Link",$I$4:$I$71,"Mantener")</f>
        <v>1</v>
      </c>
    </row>
    <row r="18" spans="1:13" ht="45" customHeight="1" x14ac:dyDescent="0.3">
      <c r="A18" s="14" t="s">
        <v>321</v>
      </c>
      <c r="B18" s="14" t="s">
        <v>124</v>
      </c>
      <c r="C18" s="14" t="s">
        <v>322</v>
      </c>
      <c r="D18" s="14" t="s">
        <v>324</v>
      </c>
      <c r="E18" s="14" t="s">
        <v>720</v>
      </c>
      <c r="F18" s="14" t="s">
        <v>721</v>
      </c>
      <c r="G18" s="14" t="s">
        <v>722</v>
      </c>
      <c r="H18" s="14" t="s">
        <v>723</v>
      </c>
      <c r="I18" s="14" t="s">
        <v>724</v>
      </c>
      <c r="J18" s="14"/>
      <c r="L18" s="71" t="s">
        <v>739</v>
      </c>
      <c r="M18" s="99" t="str">
        <f>IF(M4-M5-M7=M11,"Correcto","Revisar")</f>
        <v>Correcto</v>
      </c>
    </row>
    <row r="19" spans="1:13" ht="45" customHeight="1" x14ac:dyDescent="0.3">
      <c r="A19" s="14" t="s">
        <v>329</v>
      </c>
      <c r="B19" s="14" t="s">
        <v>124</v>
      </c>
      <c r="C19" s="14" t="s">
        <v>330</v>
      </c>
      <c r="D19" s="14" t="s">
        <v>332</v>
      </c>
      <c r="E19" s="14" t="s">
        <v>720</v>
      </c>
      <c r="F19" s="14" t="s">
        <v>721</v>
      </c>
      <c r="G19" s="14" t="s">
        <v>722</v>
      </c>
      <c r="H19" s="14" t="s">
        <v>723</v>
      </c>
      <c r="I19" s="14" t="s">
        <v>724</v>
      </c>
      <c r="J19" s="14"/>
    </row>
    <row r="20" spans="1:13" ht="45" customHeight="1" x14ac:dyDescent="0.3">
      <c r="A20" s="14" t="s">
        <v>336</v>
      </c>
      <c r="B20" s="14" t="s">
        <v>124</v>
      </c>
      <c r="C20" s="14" t="s">
        <v>337</v>
      </c>
      <c r="D20" s="14" t="s">
        <v>339</v>
      </c>
      <c r="E20" s="14" t="s">
        <v>720</v>
      </c>
      <c r="F20" s="14" t="s">
        <v>721</v>
      </c>
      <c r="G20" s="14" t="s">
        <v>722</v>
      </c>
      <c r="H20" s="14" t="s">
        <v>723</v>
      </c>
      <c r="I20" s="14" t="s">
        <v>724</v>
      </c>
      <c r="J20" s="14"/>
    </row>
    <row r="21" spans="1:13" ht="45" customHeight="1" x14ac:dyDescent="0.3">
      <c r="A21" s="14" t="s">
        <v>345</v>
      </c>
      <c r="B21" s="14" t="s">
        <v>124</v>
      </c>
      <c r="C21" s="14" t="s">
        <v>346</v>
      </c>
      <c r="D21" s="14" t="s">
        <v>348</v>
      </c>
      <c r="E21" s="14" t="s">
        <v>720</v>
      </c>
      <c r="F21" s="14" t="s">
        <v>721</v>
      </c>
      <c r="G21" s="14" t="s">
        <v>722</v>
      </c>
      <c r="H21" s="14" t="s">
        <v>723</v>
      </c>
      <c r="I21" s="14" t="s">
        <v>724</v>
      </c>
      <c r="J21" s="14"/>
    </row>
    <row r="22" spans="1:13" ht="45" customHeight="1" x14ac:dyDescent="0.3">
      <c r="A22" s="14" t="s">
        <v>352</v>
      </c>
      <c r="B22" s="14" t="s">
        <v>124</v>
      </c>
      <c r="C22" s="14" t="s">
        <v>353</v>
      </c>
      <c r="D22" s="14" t="s">
        <v>355</v>
      </c>
      <c r="E22" s="14" t="s">
        <v>720</v>
      </c>
      <c r="F22" s="14" t="s">
        <v>721</v>
      </c>
      <c r="G22" s="14" t="s">
        <v>722</v>
      </c>
      <c r="H22" s="14" t="s">
        <v>723</v>
      </c>
      <c r="I22" s="14" t="s">
        <v>724</v>
      </c>
      <c r="J22" s="14"/>
    </row>
    <row r="23" spans="1:13" ht="45" customHeight="1" x14ac:dyDescent="0.3">
      <c r="A23" s="14" t="s">
        <v>359</v>
      </c>
      <c r="B23" s="14" t="s">
        <v>124</v>
      </c>
      <c r="C23" s="14" t="s">
        <v>360</v>
      </c>
      <c r="D23" s="14" t="s">
        <v>362</v>
      </c>
      <c r="E23" s="14" t="s">
        <v>720</v>
      </c>
      <c r="F23" s="14" t="s">
        <v>721</v>
      </c>
      <c r="G23" s="14" t="s">
        <v>722</v>
      </c>
      <c r="H23" s="14" t="s">
        <v>723</v>
      </c>
      <c r="I23" s="14" t="s">
        <v>724</v>
      </c>
      <c r="J23" s="14"/>
    </row>
    <row r="24" spans="1:13" ht="45" customHeight="1" x14ac:dyDescent="0.3">
      <c r="A24" s="14" t="s">
        <v>366</v>
      </c>
      <c r="B24" s="14" t="s">
        <v>124</v>
      </c>
      <c r="C24" s="14" t="s">
        <v>367</v>
      </c>
      <c r="D24" s="14" t="s">
        <v>369</v>
      </c>
      <c r="E24" s="14" t="s">
        <v>720</v>
      </c>
      <c r="F24" s="14" t="s">
        <v>721</v>
      </c>
      <c r="G24" s="14" t="s">
        <v>722</v>
      </c>
      <c r="H24" s="14" t="s">
        <v>723</v>
      </c>
      <c r="I24" s="14" t="s">
        <v>724</v>
      </c>
      <c r="J24" s="14"/>
    </row>
    <row r="25" spans="1:13" ht="45" customHeight="1" x14ac:dyDescent="0.3">
      <c r="A25" s="14" t="s">
        <v>373</v>
      </c>
      <c r="B25" s="14" t="s">
        <v>124</v>
      </c>
      <c r="C25" s="14" t="s">
        <v>374</v>
      </c>
      <c r="D25" s="14" t="s">
        <v>376</v>
      </c>
      <c r="E25" s="14" t="s">
        <v>720</v>
      </c>
      <c r="F25" s="14" t="s">
        <v>721</v>
      </c>
      <c r="G25" s="14" t="s">
        <v>722</v>
      </c>
      <c r="H25" s="14" t="s">
        <v>723</v>
      </c>
      <c r="I25" s="14" t="s">
        <v>724</v>
      </c>
      <c r="J25" s="14"/>
    </row>
    <row r="26" spans="1:13" ht="45" customHeight="1" x14ac:dyDescent="0.3">
      <c r="A26" s="14" t="s">
        <v>380</v>
      </c>
      <c r="B26" s="14" t="s">
        <v>124</v>
      </c>
      <c r="C26" s="14" t="s">
        <v>381</v>
      </c>
      <c r="D26" s="14" t="s">
        <v>383</v>
      </c>
      <c r="E26" s="14" t="s">
        <v>720</v>
      </c>
      <c r="F26" s="14" t="s">
        <v>721</v>
      </c>
      <c r="G26" s="14" t="s">
        <v>722</v>
      </c>
      <c r="H26" s="14" t="s">
        <v>723</v>
      </c>
      <c r="I26" s="14" t="s">
        <v>724</v>
      </c>
      <c r="J26" s="14"/>
    </row>
    <row r="27" spans="1:13" ht="45" customHeight="1" x14ac:dyDescent="0.3">
      <c r="A27" s="14" t="s">
        <v>386</v>
      </c>
      <c r="B27" s="14" t="s">
        <v>124</v>
      </c>
      <c r="C27" s="14" t="s">
        <v>387</v>
      </c>
      <c r="D27" s="14" t="s">
        <v>389</v>
      </c>
      <c r="E27" s="14" t="s">
        <v>720</v>
      </c>
      <c r="F27" s="14" t="s">
        <v>721</v>
      </c>
      <c r="G27" s="14" t="s">
        <v>722</v>
      </c>
      <c r="H27" s="14" t="s">
        <v>723</v>
      </c>
      <c r="I27" s="14" t="s">
        <v>724</v>
      </c>
      <c r="J27" s="14"/>
    </row>
    <row r="28" spans="1:13" ht="45" customHeight="1" x14ac:dyDescent="0.3">
      <c r="A28" s="14" t="s">
        <v>392</v>
      </c>
      <c r="B28" s="14" t="s">
        <v>124</v>
      </c>
      <c r="C28" s="14" t="s">
        <v>393</v>
      </c>
      <c r="D28" s="14" t="s">
        <v>395</v>
      </c>
      <c r="E28" s="14" t="s">
        <v>720</v>
      </c>
      <c r="F28" s="14" t="s">
        <v>721</v>
      </c>
      <c r="G28" s="14" t="s">
        <v>722</v>
      </c>
      <c r="H28" s="14" t="s">
        <v>723</v>
      </c>
      <c r="I28" s="14" t="s">
        <v>724</v>
      </c>
      <c r="J28" s="14"/>
    </row>
    <row r="29" spans="1:13" ht="45" customHeight="1" x14ac:dyDescent="0.3">
      <c r="A29" s="14" t="s">
        <v>399</v>
      </c>
      <c r="B29" s="14" t="s">
        <v>124</v>
      </c>
      <c r="C29" s="14" t="s">
        <v>400</v>
      </c>
      <c r="D29" s="14" t="s">
        <v>402</v>
      </c>
      <c r="E29" s="14" t="s">
        <v>720</v>
      </c>
      <c r="F29" s="14" t="s">
        <v>721</v>
      </c>
      <c r="G29" s="14" t="s">
        <v>722</v>
      </c>
      <c r="H29" s="14" t="s">
        <v>723</v>
      </c>
      <c r="I29" s="14" t="s">
        <v>724</v>
      </c>
      <c r="J29" s="14"/>
    </row>
    <row r="30" spans="1:13" ht="45" customHeight="1" x14ac:dyDescent="0.3">
      <c r="A30" s="14" t="s">
        <v>407</v>
      </c>
      <c r="B30" s="14" t="s">
        <v>124</v>
      </c>
      <c r="C30" s="14" t="s">
        <v>408</v>
      </c>
      <c r="D30" s="14" t="s">
        <v>410</v>
      </c>
      <c r="E30" s="14" t="s">
        <v>720</v>
      </c>
      <c r="F30" s="14" t="s">
        <v>721</v>
      </c>
      <c r="G30" s="14" t="s">
        <v>722</v>
      </c>
      <c r="H30" s="14" t="s">
        <v>723</v>
      </c>
      <c r="I30" s="14" t="s">
        <v>724</v>
      </c>
      <c r="J30" s="14"/>
    </row>
    <row r="31" spans="1:13" ht="45" customHeight="1" x14ac:dyDescent="0.3">
      <c r="A31" s="14" t="s">
        <v>413</v>
      </c>
      <c r="B31" s="14" t="s">
        <v>124</v>
      </c>
      <c r="C31" s="14" t="s">
        <v>414</v>
      </c>
      <c r="D31" s="14" t="s">
        <v>416</v>
      </c>
      <c r="E31" s="14" t="s">
        <v>720</v>
      </c>
      <c r="F31" s="14" t="s">
        <v>721</v>
      </c>
      <c r="G31" s="14" t="s">
        <v>722</v>
      </c>
      <c r="H31" s="14" t="s">
        <v>723</v>
      </c>
      <c r="I31" s="14" t="s">
        <v>724</v>
      </c>
      <c r="J31" s="14"/>
    </row>
    <row r="32" spans="1:13" ht="45" customHeight="1" x14ac:dyDescent="0.3">
      <c r="A32" s="14" t="s">
        <v>420</v>
      </c>
      <c r="B32" s="14" t="s">
        <v>124</v>
      </c>
      <c r="C32" s="14" t="s">
        <v>421</v>
      </c>
      <c r="D32" s="14" t="s">
        <v>423</v>
      </c>
      <c r="E32" s="14" t="s">
        <v>720</v>
      </c>
      <c r="F32" s="14" t="s">
        <v>721</v>
      </c>
      <c r="G32" s="14" t="s">
        <v>722</v>
      </c>
      <c r="H32" s="14" t="s">
        <v>723</v>
      </c>
      <c r="I32" s="14" t="s">
        <v>724</v>
      </c>
      <c r="J32" s="14"/>
    </row>
    <row r="33" spans="1:10" ht="45" customHeight="1" x14ac:dyDescent="0.3">
      <c r="A33" s="14" t="s">
        <v>427</v>
      </c>
      <c r="B33" s="14" t="s">
        <v>124</v>
      </c>
      <c r="C33" s="14" t="s">
        <v>428</v>
      </c>
      <c r="D33" s="14" t="s">
        <v>430</v>
      </c>
      <c r="E33" s="14" t="s">
        <v>720</v>
      </c>
      <c r="F33" s="14" t="s">
        <v>721</v>
      </c>
      <c r="G33" s="14" t="s">
        <v>722</v>
      </c>
      <c r="H33" s="14" t="s">
        <v>723</v>
      </c>
      <c r="I33" s="14" t="s">
        <v>724</v>
      </c>
      <c r="J33" s="14"/>
    </row>
    <row r="34" spans="1:10" ht="45" customHeight="1" x14ac:dyDescent="0.3">
      <c r="A34" s="14" t="s">
        <v>434</v>
      </c>
      <c r="B34" s="14" t="s">
        <v>124</v>
      </c>
      <c r="C34" s="14" t="s">
        <v>435</v>
      </c>
      <c r="D34" s="14" t="s">
        <v>437</v>
      </c>
      <c r="E34" s="14" t="s">
        <v>720</v>
      </c>
      <c r="F34" s="14" t="s">
        <v>721</v>
      </c>
      <c r="G34" s="14" t="s">
        <v>722</v>
      </c>
      <c r="H34" s="14" t="s">
        <v>723</v>
      </c>
      <c r="I34" s="14" t="s">
        <v>724</v>
      </c>
      <c r="J34" s="14"/>
    </row>
    <row r="35" spans="1:10" ht="45" customHeight="1" x14ac:dyDescent="0.3">
      <c r="A35" s="14" t="s">
        <v>441</v>
      </c>
      <c r="B35" s="14" t="s">
        <v>124</v>
      </c>
      <c r="C35" s="14" t="s">
        <v>442</v>
      </c>
      <c r="D35" s="14" t="s">
        <v>444</v>
      </c>
      <c r="E35" s="14" t="s">
        <v>720</v>
      </c>
      <c r="F35" s="14" t="s">
        <v>721</v>
      </c>
      <c r="G35" s="14" t="s">
        <v>722</v>
      </c>
      <c r="H35" s="14" t="s">
        <v>723</v>
      </c>
      <c r="I35" s="14" t="s">
        <v>724</v>
      </c>
      <c r="J35" s="14"/>
    </row>
    <row r="36" spans="1:10" ht="45" customHeight="1" x14ac:dyDescent="0.3">
      <c r="A36" s="14" t="s">
        <v>449</v>
      </c>
      <c r="B36" s="14" t="s">
        <v>124</v>
      </c>
      <c r="C36" s="14" t="s">
        <v>450</v>
      </c>
      <c r="D36" s="14" t="s">
        <v>452</v>
      </c>
      <c r="E36" s="14" t="s">
        <v>720</v>
      </c>
      <c r="F36" s="14" t="s">
        <v>721</v>
      </c>
      <c r="G36" s="14" t="s">
        <v>722</v>
      </c>
      <c r="H36" s="14" t="s">
        <v>723</v>
      </c>
      <c r="I36" s="14" t="s">
        <v>724</v>
      </c>
      <c r="J36" s="14"/>
    </row>
    <row r="37" spans="1:10" ht="45" customHeight="1" x14ac:dyDescent="0.3">
      <c r="A37" s="14" t="s">
        <v>456</v>
      </c>
      <c r="B37" s="14" t="s">
        <v>124</v>
      </c>
      <c r="C37" s="14" t="s">
        <v>457</v>
      </c>
      <c r="D37" s="14" t="s">
        <v>459</v>
      </c>
      <c r="E37" s="14" t="s">
        <v>720</v>
      </c>
      <c r="F37" s="14" t="s">
        <v>721</v>
      </c>
      <c r="G37" s="14" t="s">
        <v>722</v>
      </c>
      <c r="H37" s="14" t="s">
        <v>723</v>
      </c>
      <c r="I37" s="14" t="s">
        <v>724</v>
      </c>
      <c r="J37" s="14"/>
    </row>
    <row r="38" spans="1:10" ht="45" customHeight="1" x14ac:dyDescent="0.3">
      <c r="A38" s="14" t="s">
        <v>463</v>
      </c>
      <c r="B38" s="14" t="s">
        <v>124</v>
      </c>
      <c r="C38" s="14" t="s">
        <v>464</v>
      </c>
      <c r="D38" s="14" t="s">
        <v>466</v>
      </c>
      <c r="E38" s="14" t="s">
        <v>720</v>
      </c>
      <c r="F38" s="14" t="s">
        <v>721</v>
      </c>
      <c r="G38" s="14" t="s">
        <v>722</v>
      </c>
      <c r="H38" s="14" t="s">
        <v>723</v>
      </c>
      <c r="I38" s="14" t="s">
        <v>724</v>
      </c>
      <c r="J38" s="14"/>
    </row>
    <row r="39" spans="1:10" ht="45" customHeight="1" x14ac:dyDescent="0.3">
      <c r="A39" s="14" t="s">
        <v>470</v>
      </c>
      <c r="B39" s="14" t="s">
        <v>124</v>
      </c>
      <c r="C39" s="14" t="s">
        <v>471</v>
      </c>
      <c r="D39" s="14" t="s">
        <v>473</v>
      </c>
      <c r="E39" s="14" t="s">
        <v>720</v>
      </c>
      <c r="F39" s="14" t="s">
        <v>721</v>
      </c>
      <c r="G39" s="14" t="s">
        <v>722</v>
      </c>
      <c r="H39" s="14" t="s">
        <v>723</v>
      </c>
      <c r="I39" s="14" t="s">
        <v>724</v>
      </c>
      <c r="J39" s="14"/>
    </row>
    <row r="40" spans="1:10" ht="45" customHeight="1" x14ac:dyDescent="0.3">
      <c r="A40" s="14" t="s">
        <v>476</v>
      </c>
      <c r="B40" s="14" t="s">
        <v>124</v>
      </c>
      <c r="C40" s="14" t="s">
        <v>477</v>
      </c>
      <c r="D40" s="14" t="s">
        <v>479</v>
      </c>
      <c r="E40" s="14" t="s">
        <v>720</v>
      </c>
      <c r="F40" s="14" t="s">
        <v>721</v>
      </c>
      <c r="G40" s="14" t="s">
        <v>722</v>
      </c>
      <c r="H40" s="14" t="s">
        <v>723</v>
      </c>
      <c r="I40" s="14" t="s">
        <v>724</v>
      </c>
      <c r="J40" s="14"/>
    </row>
    <row r="41" spans="1:10" ht="45" customHeight="1" x14ac:dyDescent="0.3">
      <c r="A41" s="14" t="s">
        <v>483</v>
      </c>
      <c r="B41" s="14" t="s">
        <v>124</v>
      </c>
      <c r="C41" s="14" t="s">
        <v>484</v>
      </c>
      <c r="D41" s="14" t="s">
        <v>486</v>
      </c>
      <c r="E41" s="14" t="s">
        <v>720</v>
      </c>
      <c r="F41" s="14" t="s">
        <v>721</v>
      </c>
      <c r="G41" s="14" t="s">
        <v>722</v>
      </c>
      <c r="H41" s="14" t="s">
        <v>723</v>
      </c>
      <c r="I41" s="14" t="s">
        <v>724</v>
      </c>
      <c r="J41" s="14"/>
    </row>
    <row r="42" spans="1:10" ht="45" customHeight="1" x14ac:dyDescent="0.3">
      <c r="A42" s="14" t="s">
        <v>489</v>
      </c>
      <c r="B42" s="14" t="s">
        <v>130</v>
      </c>
      <c r="C42" s="14" t="s">
        <v>490</v>
      </c>
      <c r="D42" s="14" t="s">
        <v>492</v>
      </c>
      <c r="E42" s="14" t="s">
        <v>720</v>
      </c>
      <c r="F42" s="14" t="s">
        <v>721</v>
      </c>
      <c r="G42" s="14" t="s">
        <v>722</v>
      </c>
      <c r="H42" s="14" t="s">
        <v>723</v>
      </c>
      <c r="I42" s="14" t="s">
        <v>724</v>
      </c>
      <c r="J42" s="14"/>
    </row>
    <row r="43" spans="1:10" ht="45" customHeight="1" x14ac:dyDescent="0.3">
      <c r="A43" s="14" t="s">
        <v>497</v>
      </c>
      <c r="B43" s="14" t="s">
        <v>130</v>
      </c>
      <c r="C43" s="14" t="s">
        <v>207</v>
      </c>
      <c r="D43" s="14" t="s">
        <v>209</v>
      </c>
      <c r="E43" s="14" t="s">
        <v>716</v>
      </c>
      <c r="F43" s="14" t="s">
        <v>740</v>
      </c>
      <c r="G43" s="14" t="s">
        <v>741</v>
      </c>
      <c r="H43" s="14" t="s">
        <v>723</v>
      </c>
      <c r="I43" s="14" t="s">
        <v>742</v>
      </c>
      <c r="J43" s="14"/>
    </row>
    <row r="44" spans="1:10" ht="45" customHeight="1" x14ac:dyDescent="0.3">
      <c r="A44" s="14" t="s">
        <v>502</v>
      </c>
      <c r="B44" s="14" t="s">
        <v>130</v>
      </c>
      <c r="C44" s="14" t="s">
        <v>503</v>
      </c>
      <c r="D44" s="14" t="s">
        <v>505</v>
      </c>
      <c r="E44" s="14" t="s">
        <v>720</v>
      </c>
      <c r="F44" s="14" t="s">
        <v>721</v>
      </c>
      <c r="G44" s="14" t="s">
        <v>722</v>
      </c>
      <c r="H44" s="14" t="s">
        <v>723</v>
      </c>
      <c r="I44" s="14" t="s">
        <v>724</v>
      </c>
      <c r="J44" s="14"/>
    </row>
    <row r="45" spans="1:10" ht="45" customHeight="1" x14ac:dyDescent="0.3">
      <c r="A45" s="14" t="s">
        <v>509</v>
      </c>
      <c r="B45" s="14" t="s">
        <v>130</v>
      </c>
      <c r="C45" s="14" t="s">
        <v>510</v>
      </c>
      <c r="D45" s="14" t="s">
        <v>512</v>
      </c>
      <c r="E45" s="14" t="s">
        <v>720</v>
      </c>
      <c r="F45" s="14" t="s">
        <v>721</v>
      </c>
      <c r="G45" s="14" t="s">
        <v>722</v>
      </c>
      <c r="H45" s="14" t="s">
        <v>723</v>
      </c>
      <c r="I45" s="14" t="s">
        <v>724</v>
      </c>
      <c r="J45" s="14"/>
    </row>
    <row r="46" spans="1:10" ht="45" customHeight="1" x14ac:dyDescent="0.3">
      <c r="A46" s="14" t="s">
        <v>516</v>
      </c>
      <c r="B46" s="14" t="s">
        <v>130</v>
      </c>
      <c r="C46" s="14" t="s">
        <v>517</v>
      </c>
      <c r="D46" s="14" t="s">
        <v>519</v>
      </c>
      <c r="E46" s="14" t="s">
        <v>720</v>
      </c>
      <c r="F46" s="14" t="s">
        <v>721</v>
      </c>
      <c r="G46" s="14" t="s">
        <v>722</v>
      </c>
      <c r="H46" s="14" t="s">
        <v>723</v>
      </c>
      <c r="I46" s="14" t="s">
        <v>724</v>
      </c>
      <c r="J46" s="14"/>
    </row>
    <row r="47" spans="1:10" ht="45" customHeight="1" x14ac:dyDescent="0.3">
      <c r="A47" s="14" t="s">
        <v>524</v>
      </c>
      <c r="B47" s="14" t="s">
        <v>130</v>
      </c>
      <c r="C47" s="14" t="s">
        <v>400</v>
      </c>
      <c r="D47" s="14" t="s">
        <v>402</v>
      </c>
      <c r="E47" s="14" t="s">
        <v>716</v>
      </c>
      <c r="F47" s="14" t="s">
        <v>743</v>
      </c>
      <c r="G47" s="14" t="s">
        <v>741</v>
      </c>
      <c r="H47" s="14" t="s">
        <v>723</v>
      </c>
      <c r="I47" s="14" t="s">
        <v>742</v>
      </c>
      <c r="J47" s="14"/>
    </row>
    <row r="48" spans="1:10" ht="45" customHeight="1" x14ac:dyDescent="0.3">
      <c r="A48" s="14" t="s">
        <v>529</v>
      </c>
      <c r="B48" s="14" t="s">
        <v>130</v>
      </c>
      <c r="C48" s="14" t="s">
        <v>530</v>
      </c>
      <c r="D48" s="14" t="s">
        <v>532</v>
      </c>
      <c r="E48" s="14" t="s">
        <v>720</v>
      </c>
      <c r="F48" s="14" t="s">
        <v>721</v>
      </c>
      <c r="G48" s="14" t="s">
        <v>722</v>
      </c>
      <c r="H48" s="14" t="s">
        <v>723</v>
      </c>
      <c r="I48" s="14" t="s">
        <v>724</v>
      </c>
      <c r="J48" s="14"/>
    </row>
    <row r="49" spans="1:10" ht="45" customHeight="1" x14ac:dyDescent="0.3">
      <c r="A49" s="14" t="s">
        <v>536</v>
      </c>
      <c r="B49" s="14" t="s">
        <v>134</v>
      </c>
      <c r="C49" s="14" t="s">
        <v>537</v>
      </c>
      <c r="D49" s="14" t="s">
        <v>539</v>
      </c>
      <c r="E49" s="14" t="s">
        <v>744</v>
      </c>
      <c r="F49" s="14" t="s">
        <v>745</v>
      </c>
      <c r="G49" s="14" t="s">
        <v>722</v>
      </c>
      <c r="H49" s="14" t="s">
        <v>746</v>
      </c>
      <c r="I49" s="14" t="s">
        <v>742</v>
      </c>
      <c r="J49" s="14"/>
    </row>
    <row r="50" spans="1:10" ht="45" customHeight="1" x14ac:dyDescent="0.3">
      <c r="A50" s="14" t="s">
        <v>544</v>
      </c>
      <c r="B50" s="14" t="s">
        <v>134</v>
      </c>
      <c r="C50" s="14" t="s">
        <v>277</v>
      </c>
      <c r="D50" s="14" t="s">
        <v>279</v>
      </c>
      <c r="E50" s="14" t="s">
        <v>716</v>
      </c>
      <c r="F50" s="14" t="s">
        <v>747</v>
      </c>
      <c r="G50" s="14" t="s">
        <v>741</v>
      </c>
      <c r="H50" s="14" t="s">
        <v>723</v>
      </c>
      <c r="I50" s="14" t="s">
        <v>742</v>
      </c>
      <c r="J50" s="14"/>
    </row>
    <row r="51" spans="1:10" ht="45" customHeight="1" x14ac:dyDescent="0.3">
      <c r="A51" s="14" t="s">
        <v>549</v>
      </c>
      <c r="B51" s="14" t="s">
        <v>134</v>
      </c>
      <c r="C51" s="14" t="s">
        <v>393</v>
      </c>
      <c r="D51" s="14" t="s">
        <v>395</v>
      </c>
      <c r="E51" s="14" t="s">
        <v>716</v>
      </c>
      <c r="F51" s="14" t="s">
        <v>748</v>
      </c>
      <c r="G51" s="14" t="s">
        <v>741</v>
      </c>
      <c r="H51" s="14" t="s">
        <v>723</v>
      </c>
      <c r="I51" s="14" t="s">
        <v>742</v>
      </c>
      <c r="J51" s="14"/>
    </row>
    <row r="52" spans="1:10" ht="45" customHeight="1" x14ac:dyDescent="0.3">
      <c r="A52" s="14" t="s">
        <v>554</v>
      </c>
      <c r="B52" s="14" t="s">
        <v>124</v>
      </c>
      <c r="C52" s="14" t="s">
        <v>555</v>
      </c>
      <c r="D52" s="14" t="s">
        <v>558</v>
      </c>
      <c r="E52" s="14" t="s">
        <v>720</v>
      </c>
      <c r="F52" s="14" t="s">
        <v>721</v>
      </c>
      <c r="G52" s="14" t="s">
        <v>722</v>
      </c>
      <c r="H52" s="14" t="s">
        <v>723</v>
      </c>
      <c r="I52" s="14" t="s">
        <v>724</v>
      </c>
      <c r="J52" s="18"/>
    </row>
    <row r="53" spans="1:10" ht="45" customHeight="1" x14ac:dyDescent="0.3">
      <c r="A53" s="14" t="s">
        <v>564</v>
      </c>
      <c r="B53" s="14" t="s">
        <v>124</v>
      </c>
      <c r="C53" s="14" t="s">
        <v>565</v>
      </c>
      <c r="D53" s="14" t="s">
        <v>567</v>
      </c>
      <c r="E53" s="14" t="s">
        <v>720</v>
      </c>
      <c r="F53" s="14" t="s">
        <v>721</v>
      </c>
      <c r="G53" s="14" t="s">
        <v>722</v>
      </c>
      <c r="H53" s="14" t="s">
        <v>723</v>
      </c>
      <c r="I53" s="14" t="s">
        <v>724</v>
      </c>
      <c r="J53" s="18"/>
    </row>
    <row r="54" spans="1:10" ht="45" customHeight="1" x14ac:dyDescent="0.3">
      <c r="A54" s="14" t="s">
        <v>572</v>
      </c>
      <c r="B54" s="14" t="s">
        <v>124</v>
      </c>
      <c r="C54" s="14" t="s">
        <v>573</v>
      </c>
      <c r="D54" s="14" t="s">
        <v>576</v>
      </c>
      <c r="E54" s="14" t="s">
        <v>720</v>
      </c>
      <c r="F54" s="14" t="s">
        <v>721</v>
      </c>
      <c r="G54" s="14" t="s">
        <v>722</v>
      </c>
      <c r="H54" s="14" t="s">
        <v>723</v>
      </c>
      <c r="I54" s="14" t="s">
        <v>724</v>
      </c>
      <c r="J54" s="18"/>
    </row>
    <row r="55" spans="1:10" ht="45" customHeight="1" x14ac:dyDescent="0.3">
      <c r="A55" s="14" t="s">
        <v>581</v>
      </c>
      <c r="B55" s="14" t="s">
        <v>124</v>
      </c>
      <c r="C55" s="14" t="s">
        <v>582</v>
      </c>
      <c r="D55" s="14" t="s">
        <v>585</v>
      </c>
      <c r="E55" s="14" t="s">
        <v>749</v>
      </c>
      <c r="F55" s="14" t="s">
        <v>750</v>
      </c>
      <c r="G55" s="14" t="s">
        <v>722</v>
      </c>
      <c r="H55" s="14" t="s">
        <v>746</v>
      </c>
      <c r="I55" s="14" t="s">
        <v>742</v>
      </c>
      <c r="J55" s="18"/>
    </row>
    <row r="56" spans="1:10" ht="45" customHeight="1" x14ac:dyDescent="0.3">
      <c r="A56" s="14" t="s">
        <v>590</v>
      </c>
      <c r="B56" s="14" t="s">
        <v>124</v>
      </c>
      <c r="C56" s="14" t="s">
        <v>591</v>
      </c>
      <c r="D56" s="14" t="s">
        <v>593</v>
      </c>
      <c r="E56" s="14" t="s">
        <v>720</v>
      </c>
      <c r="F56" s="14" t="s">
        <v>721</v>
      </c>
      <c r="G56" s="14" t="s">
        <v>722</v>
      </c>
      <c r="H56" s="14" t="s">
        <v>723</v>
      </c>
      <c r="I56" s="14" t="s">
        <v>724</v>
      </c>
      <c r="J56" s="18"/>
    </row>
    <row r="57" spans="1:10" ht="45" customHeight="1" x14ac:dyDescent="0.3">
      <c r="A57" s="14" t="s">
        <v>598</v>
      </c>
      <c r="B57" s="14" t="s">
        <v>124</v>
      </c>
      <c r="C57" s="14" t="s">
        <v>599</v>
      </c>
      <c r="D57" s="14" t="s">
        <v>601</v>
      </c>
      <c r="E57" s="14" t="s">
        <v>720</v>
      </c>
      <c r="F57" s="14" t="s">
        <v>721</v>
      </c>
      <c r="G57" s="14" t="s">
        <v>722</v>
      </c>
      <c r="H57" s="14" t="s">
        <v>723</v>
      </c>
      <c r="I57" s="14" t="s">
        <v>724</v>
      </c>
      <c r="J57" s="18"/>
    </row>
    <row r="58" spans="1:10" ht="45" customHeight="1" x14ac:dyDescent="0.3">
      <c r="A58" s="14" t="s">
        <v>606</v>
      </c>
      <c r="B58" s="14" t="s">
        <v>124</v>
      </c>
      <c r="C58" s="14" t="s">
        <v>607</v>
      </c>
      <c r="D58" s="14" t="s">
        <v>609</v>
      </c>
      <c r="E58" s="14" t="s">
        <v>720</v>
      </c>
      <c r="F58" s="14" t="s">
        <v>721</v>
      </c>
      <c r="G58" s="14" t="s">
        <v>722</v>
      </c>
      <c r="H58" s="14" t="s">
        <v>723</v>
      </c>
      <c r="I58" s="14" t="s">
        <v>724</v>
      </c>
      <c r="J58" s="18"/>
    </row>
    <row r="59" spans="1:10" ht="45" customHeight="1" x14ac:dyDescent="0.3">
      <c r="A59" s="14" t="s">
        <v>614</v>
      </c>
      <c r="B59" s="14" t="s">
        <v>124</v>
      </c>
      <c r="C59" s="14" t="s">
        <v>615</v>
      </c>
      <c r="D59" s="14" t="s">
        <v>617</v>
      </c>
      <c r="E59" s="14" t="s">
        <v>720</v>
      </c>
      <c r="F59" s="14" t="s">
        <v>721</v>
      </c>
      <c r="G59" s="14" t="s">
        <v>722</v>
      </c>
      <c r="H59" s="14" t="s">
        <v>723</v>
      </c>
      <c r="I59" s="14" t="s">
        <v>724</v>
      </c>
      <c r="J59" s="18"/>
    </row>
    <row r="60" spans="1:10" ht="45" customHeight="1" x14ac:dyDescent="0.3">
      <c r="A60" s="14" t="s">
        <v>622</v>
      </c>
      <c r="B60" s="14" t="s">
        <v>124</v>
      </c>
      <c r="C60" s="14" t="s">
        <v>623</v>
      </c>
      <c r="D60" s="14" t="s">
        <v>625</v>
      </c>
      <c r="E60" s="14" t="s">
        <v>720</v>
      </c>
      <c r="F60" s="14" t="s">
        <v>721</v>
      </c>
      <c r="G60" s="14" t="s">
        <v>722</v>
      </c>
      <c r="H60" s="14" t="s">
        <v>723</v>
      </c>
      <c r="I60" s="14" t="s">
        <v>724</v>
      </c>
      <c r="J60" s="18"/>
    </row>
    <row r="61" spans="1:10" ht="45" customHeight="1" x14ac:dyDescent="0.3">
      <c r="A61" s="14" t="s">
        <v>631</v>
      </c>
      <c r="B61" s="14" t="s">
        <v>124</v>
      </c>
      <c r="C61" s="14" t="s">
        <v>632</v>
      </c>
      <c r="D61" s="14" t="s">
        <v>635</v>
      </c>
      <c r="E61" s="14" t="s">
        <v>720</v>
      </c>
      <c r="F61" s="14" t="s">
        <v>721</v>
      </c>
      <c r="G61" s="14" t="s">
        <v>722</v>
      </c>
      <c r="H61" s="14" t="s">
        <v>723</v>
      </c>
      <c r="I61" s="14" t="s">
        <v>724</v>
      </c>
      <c r="J61" s="18"/>
    </row>
    <row r="62" spans="1:10" ht="45" customHeight="1" x14ac:dyDescent="0.3">
      <c r="A62" s="14" t="s">
        <v>640</v>
      </c>
      <c r="B62" s="14" t="s">
        <v>124</v>
      </c>
      <c r="C62" s="14" t="s">
        <v>641</v>
      </c>
      <c r="D62" s="14" t="s">
        <v>643</v>
      </c>
      <c r="E62" s="14" t="s">
        <v>720</v>
      </c>
      <c r="F62" s="14" t="s">
        <v>721</v>
      </c>
      <c r="G62" s="14" t="s">
        <v>722</v>
      </c>
      <c r="H62" s="14" t="s">
        <v>723</v>
      </c>
      <c r="I62" s="14" t="s">
        <v>724</v>
      </c>
      <c r="J62" s="18"/>
    </row>
    <row r="63" spans="1:10" ht="45" customHeight="1" x14ac:dyDescent="0.3">
      <c r="A63" s="14" t="s">
        <v>648</v>
      </c>
      <c r="B63" s="14" t="s">
        <v>124</v>
      </c>
      <c r="C63" s="14" t="s">
        <v>649</v>
      </c>
      <c r="D63" s="14" t="s">
        <v>651</v>
      </c>
      <c r="E63" s="14" t="s">
        <v>720</v>
      </c>
      <c r="F63" s="14" t="s">
        <v>721</v>
      </c>
      <c r="G63" s="14" t="s">
        <v>722</v>
      </c>
      <c r="H63" s="14" t="s">
        <v>723</v>
      </c>
      <c r="I63" s="14" t="s">
        <v>724</v>
      </c>
      <c r="J63" s="18"/>
    </row>
    <row r="64" spans="1:10" ht="45" customHeight="1" x14ac:dyDescent="0.3">
      <c r="A64" s="14" t="s">
        <v>655</v>
      </c>
      <c r="B64" s="14" t="s">
        <v>134</v>
      </c>
      <c r="C64" s="14" t="s">
        <v>656</v>
      </c>
      <c r="D64" s="14" t="s">
        <v>658</v>
      </c>
      <c r="E64" s="14" t="s">
        <v>720</v>
      </c>
      <c r="F64" s="14" t="s">
        <v>721</v>
      </c>
      <c r="G64" s="14" t="s">
        <v>722</v>
      </c>
      <c r="H64" s="14" t="s">
        <v>723</v>
      </c>
      <c r="I64" s="14" t="s">
        <v>724</v>
      </c>
      <c r="J64" s="18"/>
    </row>
    <row r="65" spans="1:9" ht="45" customHeight="1" x14ac:dyDescent="0.3">
      <c r="A65" s="14" t="s">
        <v>662</v>
      </c>
      <c r="B65" s="14" t="s">
        <v>130</v>
      </c>
      <c r="C65" s="14" t="s">
        <v>663</v>
      </c>
      <c r="D65" s="14" t="s">
        <v>665</v>
      </c>
      <c r="E65" s="14" t="s">
        <v>749</v>
      </c>
      <c r="F65" s="14" t="s">
        <v>751</v>
      </c>
      <c r="G65" s="14" t="s">
        <v>722</v>
      </c>
      <c r="H65" s="14" t="s">
        <v>746</v>
      </c>
      <c r="I65" s="14" t="s">
        <v>742</v>
      </c>
    </row>
    <row r="66" spans="1:9" ht="45" customHeight="1" x14ac:dyDescent="0.3">
      <c r="A66" s="14" t="s">
        <v>670</v>
      </c>
      <c r="B66" s="14" t="s">
        <v>130</v>
      </c>
      <c r="C66" s="14" t="s">
        <v>671</v>
      </c>
      <c r="D66" s="14" t="s">
        <v>673</v>
      </c>
      <c r="E66" s="14" t="s">
        <v>749</v>
      </c>
      <c r="F66" s="14" t="s">
        <v>752</v>
      </c>
      <c r="G66" s="14" t="s">
        <v>722</v>
      </c>
      <c r="H66" s="14" t="s">
        <v>746</v>
      </c>
      <c r="I66" s="14" t="s">
        <v>742</v>
      </c>
    </row>
    <row r="67" spans="1:9" ht="45" customHeight="1" x14ac:dyDescent="0.3">
      <c r="A67" s="14" t="s">
        <v>676</v>
      </c>
      <c r="B67" s="14" t="s">
        <v>130</v>
      </c>
      <c r="C67" s="14" t="s">
        <v>677</v>
      </c>
      <c r="D67" s="14" t="s">
        <v>679</v>
      </c>
      <c r="E67" s="14" t="s">
        <v>749</v>
      </c>
      <c r="F67" s="14" t="s">
        <v>753</v>
      </c>
      <c r="G67" s="14" t="s">
        <v>722</v>
      </c>
      <c r="H67" s="14" t="s">
        <v>746</v>
      </c>
      <c r="I67" s="14" t="s">
        <v>742</v>
      </c>
    </row>
    <row r="68" spans="1:9" ht="45" customHeight="1" x14ac:dyDescent="0.3">
      <c r="A68" s="14" t="s">
        <v>682</v>
      </c>
      <c r="B68" s="14" t="s">
        <v>130</v>
      </c>
      <c r="C68" s="14" t="s">
        <v>683</v>
      </c>
      <c r="D68" s="14" t="s">
        <v>685</v>
      </c>
      <c r="E68" s="14" t="s">
        <v>749</v>
      </c>
      <c r="F68" s="14" t="s">
        <v>754</v>
      </c>
      <c r="G68" s="14" t="s">
        <v>722</v>
      </c>
      <c r="H68" s="14" t="s">
        <v>746</v>
      </c>
      <c r="I68" s="14" t="s">
        <v>742</v>
      </c>
    </row>
    <row r="69" spans="1:9" ht="45" customHeight="1" x14ac:dyDescent="0.3">
      <c r="A69" s="14" t="s">
        <v>689</v>
      </c>
      <c r="B69" s="14" t="s">
        <v>130</v>
      </c>
      <c r="C69" s="14" t="s">
        <v>690</v>
      </c>
      <c r="D69" s="14" t="s">
        <v>692</v>
      </c>
      <c r="E69" s="14" t="s">
        <v>749</v>
      </c>
      <c r="F69" s="14" t="s">
        <v>755</v>
      </c>
      <c r="G69" s="14" t="s">
        <v>722</v>
      </c>
      <c r="H69" s="14" t="s">
        <v>746</v>
      </c>
      <c r="I69" s="14" t="s">
        <v>742</v>
      </c>
    </row>
    <row r="70" spans="1:9" ht="45" customHeight="1" x14ac:dyDescent="0.3">
      <c r="A70" s="14" t="s">
        <v>697</v>
      </c>
      <c r="B70" s="14" t="s">
        <v>130</v>
      </c>
      <c r="C70" s="14" t="s">
        <v>698</v>
      </c>
      <c r="D70" s="14" t="s">
        <v>700</v>
      </c>
      <c r="E70" s="14" t="s">
        <v>749</v>
      </c>
      <c r="F70" s="14" t="s">
        <v>756</v>
      </c>
      <c r="G70" s="14" t="s">
        <v>722</v>
      </c>
      <c r="H70" s="14" t="s">
        <v>746</v>
      </c>
      <c r="I70" s="14" t="s">
        <v>742</v>
      </c>
    </row>
    <row r="71" spans="1:9" ht="45" customHeight="1" x14ac:dyDescent="0.3">
      <c r="A71" s="14" t="s">
        <v>704</v>
      </c>
      <c r="B71" s="14" t="s">
        <v>130</v>
      </c>
      <c r="C71" s="14" t="s">
        <v>705</v>
      </c>
      <c r="D71" s="14" t="s">
        <v>707</v>
      </c>
      <c r="E71" s="14" t="s">
        <v>749</v>
      </c>
      <c r="F71" s="14" t="s">
        <v>757</v>
      </c>
      <c r="G71" s="14" t="s">
        <v>722</v>
      </c>
      <c r="H71" s="14" t="s">
        <v>746</v>
      </c>
      <c r="I71" s="14" t="s">
        <v>742</v>
      </c>
    </row>
    <row r="72" spans="1:9" ht="33.6" customHeight="1" x14ac:dyDescent="0.3"/>
    <row r="73" spans="1:9" ht="60" customHeight="1" x14ac:dyDescent="0.3">
      <c r="A73" s="67" t="s">
        <v>35</v>
      </c>
      <c r="B73" s="15"/>
      <c r="C73" s="105" t="s">
        <v>758</v>
      </c>
      <c r="D73" s="103"/>
      <c r="E73" s="103"/>
      <c r="F73" s="103"/>
      <c r="G73" s="103"/>
      <c r="H73" s="103"/>
      <c r="I73" s="103"/>
    </row>
    <row r="74" spans="1:9" ht="33.6" customHeight="1" x14ac:dyDescent="0.3"/>
    <row r="75" spans="1:9" ht="33.6" customHeight="1" x14ac:dyDescent="0.3"/>
    <row r="76" spans="1:9" ht="33.6" customHeight="1" x14ac:dyDescent="0.3"/>
    <row r="77" spans="1:9" ht="33.6" customHeight="1" x14ac:dyDescent="0.3"/>
    <row r="78" spans="1:9" ht="33.6" customHeight="1" x14ac:dyDescent="0.3"/>
    <row r="79" spans="1:9" ht="33.6" customHeight="1" x14ac:dyDescent="0.3"/>
    <row r="80" spans="1:9"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33.6"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33.6" customHeight="1" x14ac:dyDescent="0.3"/>
    <row r="591" ht="33.6" customHeight="1" x14ac:dyDescent="0.3"/>
  </sheetData>
  <autoFilter ref="A3:I591" xr:uid="{00000000-0009-0000-0000-000004000000}"/>
  <mergeCells count="3">
    <mergeCell ref="A1:I1"/>
    <mergeCell ref="A2:I2"/>
    <mergeCell ref="C73:I73"/>
  </mergeCells>
  <dataValidations count="4">
    <dataValidation type="list" allowBlank="1" sqref="E4:E500" xr:uid="{00000000-0002-0000-0400-000000000000}">
      <formula1>"No aplica,Duplicado,Revisión sistemática,Revisión de literatura,Fuera de alcance,Otro"</formula1>
    </dataValidation>
    <dataValidation type="list" allowBlank="1" sqref="G4:G500" xr:uid="{00000000-0002-0000-0400-000001000000}">
      <formula1>"Sí,No"</formula1>
    </dataValidation>
    <dataValidation type="list" allowBlank="1" sqref="H4:H500" xr:uid="{00000000-0002-0000-0400-000002000000}">
      <formula1>"Primario,Revisión,Otro"</formula1>
    </dataValidation>
    <dataValidation type="list" allowBlank="1" sqref="I4:I500" xr:uid="{00000000-0002-0000-0400-000003000000}">
      <formula1>"Mantener,Excluir"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01"/>
  <sheetViews>
    <sheetView zoomScale="56" zoomScaleNormal="81" workbookViewId="0">
      <pane xSplit="3" ySplit="3" topLeftCell="D4" activePane="bottomRight" state="frozen"/>
      <selection pane="topRight"/>
      <selection pane="bottomLeft"/>
      <selection pane="bottomRight" activeCell="O8" sqref="O8"/>
    </sheetView>
  </sheetViews>
  <sheetFormatPr baseColWidth="10" defaultColWidth="8.88671875" defaultRowHeight="14.4" x14ac:dyDescent="0.3"/>
  <cols>
    <col min="1" max="1" width="12.33203125" customWidth="1"/>
    <col min="2" max="2" width="16" customWidth="1"/>
    <col min="3" max="3" width="60" customWidth="1"/>
    <col min="4" max="4" width="45" customWidth="1"/>
    <col min="5" max="9" width="60" customWidth="1"/>
    <col min="10" max="10" width="37.109375" customWidth="1"/>
    <col min="11" max="11" width="44" customWidth="1"/>
    <col min="12" max="12" width="35" customWidth="1"/>
    <col min="13" max="13" width="60" customWidth="1"/>
    <col min="14" max="14" width="30" customWidth="1"/>
    <col min="15" max="15" width="14" customWidth="1"/>
    <col min="16" max="16" width="22" customWidth="1"/>
    <col min="18" max="18" width="34" customWidth="1"/>
    <col min="19" max="19" width="40" customWidth="1"/>
  </cols>
  <sheetData>
    <row r="1" spans="1:19" ht="17.55" customHeight="1" x14ac:dyDescent="0.3">
      <c r="A1" s="102" t="s">
        <v>759</v>
      </c>
      <c r="B1" s="103"/>
      <c r="C1" s="103"/>
      <c r="D1" s="103"/>
      <c r="E1" s="103"/>
      <c r="F1" s="103"/>
      <c r="G1" s="103"/>
      <c r="H1" s="103"/>
      <c r="I1" s="103"/>
      <c r="J1" s="103"/>
      <c r="K1" s="103"/>
      <c r="L1" s="103"/>
      <c r="M1" s="103"/>
      <c r="N1" s="103"/>
      <c r="O1" s="103"/>
    </row>
    <row r="2" spans="1:19" ht="28.8" customHeight="1" x14ac:dyDescent="0.3">
      <c r="A2" s="104" t="s">
        <v>760</v>
      </c>
      <c r="B2" s="103"/>
      <c r="C2" s="103"/>
      <c r="D2" s="103"/>
      <c r="E2" s="103"/>
      <c r="F2" s="103"/>
      <c r="G2" s="103"/>
      <c r="H2" s="103"/>
      <c r="I2" s="103"/>
      <c r="J2" s="103"/>
      <c r="K2" s="103"/>
      <c r="L2" s="103"/>
      <c r="M2" s="103"/>
      <c r="N2" s="103"/>
      <c r="O2" s="103"/>
    </row>
    <row r="3" spans="1:19" ht="28.8" customHeight="1" x14ac:dyDescent="0.3">
      <c r="A3" s="24" t="s">
        <v>193</v>
      </c>
      <c r="B3" s="24" t="s">
        <v>115</v>
      </c>
      <c r="C3" s="24" t="s">
        <v>194</v>
      </c>
      <c r="D3" s="24" t="s">
        <v>761</v>
      </c>
      <c r="E3" s="24" t="s">
        <v>762</v>
      </c>
      <c r="F3" s="24" t="s">
        <v>763</v>
      </c>
      <c r="G3" s="24" t="s">
        <v>764</v>
      </c>
      <c r="H3" s="24" t="s">
        <v>765</v>
      </c>
      <c r="I3" s="24" t="s">
        <v>766</v>
      </c>
      <c r="J3" s="24" t="s">
        <v>767</v>
      </c>
      <c r="K3" s="24" t="s">
        <v>768</v>
      </c>
      <c r="L3" s="24" t="s">
        <v>769</v>
      </c>
      <c r="M3" s="24" t="s">
        <v>770</v>
      </c>
      <c r="N3" s="24" t="s">
        <v>771</v>
      </c>
      <c r="O3" s="24" t="s">
        <v>204</v>
      </c>
      <c r="P3" s="24" t="s">
        <v>772</v>
      </c>
      <c r="R3" s="63" t="s">
        <v>773</v>
      </c>
      <c r="S3" s="64"/>
    </row>
    <row r="4" spans="1:19" ht="60" customHeight="1" x14ac:dyDescent="0.3">
      <c r="A4" s="22" t="s">
        <v>206</v>
      </c>
      <c r="B4" s="22" t="s">
        <v>124</v>
      </c>
      <c r="C4" s="22" t="s">
        <v>207</v>
      </c>
      <c r="D4" s="22" t="s">
        <v>774</v>
      </c>
      <c r="E4" s="22" t="s">
        <v>775</v>
      </c>
      <c r="F4" s="22" t="s">
        <v>776</v>
      </c>
      <c r="G4" s="22" t="s">
        <v>777</v>
      </c>
      <c r="H4" s="22" t="s">
        <v>778</v>
      </c>
      <c r="I4" s="22" t="s">
        <v>722</v>
      </c>
      <c r="J4" s="22" t="s">
        <v>779</v>
      </c>
      <c r="K4" s="22" t="s">
        <v>723</v>
      </c>
      <c r="L4" s="22" t="s">
        <v>780</v>
      </c>
      <c r="M4" s="22" t="s">
        <v>781</v>
      </c>
      <c r="N4" s="22" t="s">
        <v>722</v>
      </c>
      <c r="O4" s="22" t="s">
        <v>216</v>
      </c>
      <c r="P4" s="22" t="s">
        <v>782</v>
      </c>
      <c r="R4" s="65" t="s">
        <v>783</v>
      </c>
      <c r="S4" s="100" t="s">
        <v>784</v>
      </c>
    </row>
    <row r="5" spans="1:19" ht="60" customHeight="1" x14ac:dyDescent="0.3">
      <c r="A5" s="22" t="s">
        <v>218</v>
      </c>
      <c r="B5" s="22" t="s">
        <v>124</v>
      </c>
      <c r="C5" s="22" t="s">
        <v>219</v>
      </c>
      <c r="D5" s="22" t="s">
        <v>222</v>
      </c>
      <c r="E5" s="22" t="s">
        <v>785</v>
      </c>
      <c r="F5" s="22" t="s">
        <v>786</v>
      </c>
      <c r="G5" s="22" t="s">
        <v>787</v>
      </c>
      <c r="H5" s="22" t="s">
        <v>788</v>
      </c>
      <c r="I5" s="22" t="s">
        <v>722</v>
      </c>
      <c r="J5" s="22" t="s">
        <v>789</v>
      </c>
      <c r="K5" s="22" t="s">
        <v>723</v>
      </c>
      <c r="L5" s="22" t="s">
        <v>780</v>
      </c>
      <c r="M5" s="22" t="s">
        <v>790</v>
      </c>
      <c r="N5" s="22" t="s">
        <v>722</v>
      </c>
      <c r="O5" s="22" t="s">
        <v>216</v>
      </c>
      <c r="P5" s="22" t="s">
        <v>791</v>
      </c>
      <c r="R5" s="65" t="s">
        <v>792</v>
      </c>
      <c r="S5" s="100" t="s">
        <v>793</v>
      </c>
    </row>
    <row r="6" spans="1:19" ht="60" customHeight="1" x14ac:dyDescent="0.3">
      <c r="A6" s="22" t="s">
        <v>226</v>
      </c>
      <c r="B6" s="22" t="s">
        <v>124</v>
      </c>
      <c r="C6" s="22" t="s">
        <v>227</v>
      </c>
      <c r="D6" s="22" t="s">
        <v>230</v>
      </c>
      <c r="E6" s="22" t="s">
        <v>794</v>
      </c>
      <c r="F6" s="22" t="s">
        <v>786</v>
      </c>
      <c r="G6" s="22" t="s">
        <v>795</v>
      </c>
      <c r="H6" s="22" t="s">
        <v>796</v>
      </c>
      <c r="I6" s="22" t="s">
        <v>797</v>
      </c>
      <c r="J6" s="22" t="s">
        <v>798</v>
      </c>
      <c r="K6" s="22" t="s">
        <v>723</v>
      </c>
      <c r="L6" s="22" t="s">
        <v>799</v>
      </c>
      <c r="M6" s="22" t="s">
        <v>800</v>
      </c>
      <c r="N6" s="22" t="s">
        <v>741</v>
      </c>
      <c r="O6" s="22" t="s">
        <v>216</v>
      </c>
      <c r="P6" s="22"/>
      <c r="R6" s="65" t="s">
        <v>801</v>
      </c>
      <c r="S6" s="66">
        <f>COUNTA($A$4:$A$58)</f>
        <v>55</v>
      </c>
    </row>
    <row r="7" spans="1:19" ht="60" customHeight="1" x14ac:dyDescent="0.3">
      <c r="A7" s="22" t="s">
        <v>235</v>
      </c>
      <c r="B7" s="22" t="s">
        <v>124</v>
      </c>
      <c r="C7" s="22" t="s">
        <v>236</v>
      </c>
      <c r="D7" s="22" t="s">
        <v>802</v>
      </c>
      <c r="E7" s="22" t="s">
        <v>803</v>
      </c>
      <c r="F7" s="22" t="s">
        <v>786</v>
      </c>
      <c r="G7" s="22" t="s">
        <v>804</v>
      </c>
      <c r="H7" s="22" t="s">
        <v>788</v>
      </c>
      <c r="I7" s="22" t="s">
        <v>722</v>
      </c>
      <c r="J7" s="22" t="s">
        <v>805</v>
      </c>
      <c r="K7" s="22" t="s">
        <v>723</v>
      </c>
      <c r="L7" s="22" t="s">
        <v>780</v>
      </c>
      <c r="M7" s="22" t="s">
        <v>790</v>
      </c>
      <c r="N7" s="22" t="s">
        <v>722</v>
      </c>
      <c r="O7" s="22" t="s">
        <v>216</v>
      </c>
      <c r="P7" s="22" t="s">
        <v>791</v>
      </c>
      <c r="R7" s="65" t="s">
        <v>806</v>
      </c>
      <c r="S7" s="66">
        <f>COUNTIF($N$4:$N$58,"Sí")</f>
        <v>22</v>
      </c>
    </row>
    <row r="8" spans="1:19" ht="60" customHeight="1" x14ac:dyDescent="0.3">
      <c r="A8" s="22" t="s">
        <v>243</v>
      </c>
      <c r="B8" s="22" t="s">
        <v>124</v>
      </c>
      <c r="C8" s="22" t="s">
        <v>244</v>
      </c>
      <c r="D8" s="22" t="s">
        <v>807</v>
      </c>
      <c r="E8" s="22" t="s">
        <v>808</v>
      </c>
      <c r="F8" s="22" t="s">
        <v>786</v>
      </c>
      <c r="G8" s="22" t="s">
        <v>809</v>
      </c>
      <c r="H8" s="22" t="s">
        <v>788</v>
      </c>
      <c r="I8" s="22" t="s">
        <v>722</v>
      </c>
      <c r="J8" s="22" t="s">
        <v>805</v>
      </c>
      <c r="K8" s="22" t="s">
        <v>723</v>
      </c>
      <c r="L8" s="22" t="s">
        <v>780</v>
      </c>
      <c r="M8" s="22" t="s">
        <v>790</v>
      </c>
      <c r="N8" s="22" t="s">
        <v>722</v>
      </c>
      <c r="O8" s="22" t="s">
        <v>216</v>
      </c>
      <c r="P8" s="22" t="s">
        <v>791</v>
      </c>
      <c r="R8" s="65" t="s">
        <v>810</v>
      </c>
      <c r="S8" s="66">
        <f>COUNTIF($N$4:$N$58,"No")</f>
        <v>33</v>
      </c>
    </row>
    <row r="9" spans="1:19" ht="60" customHeight="1" x14ac:dyDescent="0.3">
      <c r="A9" s="22" t="s">
        <v>251</v>
      </c>
      <c r="B9" s="22" t="s">
        <v>124</v>
      </c>
      <c r="C9" s="22" t="s">
        <v>252</v>
      </c>
      <c r="D9" s="22" t="s">
        <v>255</v>
      </c>
      <c r="E9" s="22" t="s">
        <v>811</v>
      </c>
      <c r="F9" s="22" t="s">
        <v>786</v>
      </c>
      <c r="G9" s="22" t="s">
        <v>812</v>
      </c>
      <c r="H9" s="22" t="s">
        <v>776</v>
      </c>
      <c r="I9" s="22" t="s">
        <v>797</v>
      </c>
      <c r="J9" s="22" t="s">
        <v>813</v>
      </c>
      <c r="K9" s="22" t="s">
        <v>723</v>
      </c>
      <c r="L9" s="22" t="s">
        <v>814</v>
      </c>
      <c r="M9" s="22" t="s">
        <v>815</v>
      </c>
      <c r="N9" s="22" t="s">
        <v>741</v>
      </c>
      <c r="O9" s="22" t="s">
        <v>216</v>
      </c>
      <c r="P9" s="22"/>
      <c r="R9" s="65" t="s">
        <v>816</v>
      </c>
      <c r="S9" s="66">
        <f>COUNTIF($P$4:$P$58,"CE-F1 Solo fruto")</f>
        <v>13</v>
      </c>
    </row>
    <row r="10" spans="1:19" ht="60" customHeight="1" x14ac:dyDescent="0.3">
      <c r="A10" s="22" t="s">
        <v>259</v>
      </c>
      <c r="B10" s="22" t="s">
        <v>124</v>
      </c>
      <c r="C10" s="22" t="s">
        <v>260</v>
      </c>
      <c r="D10" s="22" t="s">
        <v>817</v>
      </c>
      <c r="E10" s="22" t="s">
        <v>818</v>
      </c>
      <c r="F10" s="22" t="s">
        <v>819</v>
      </c>
      <c r="G10" s="22" t="s">
        <v>820</v>
      </c>
      <c r="H10" s="22" t="s">
        <v>788</v>
      </c>
      <c r="I10" s="22" t="s">
        <v>722</v>
      </c>
      <c r="J10" s="22" t="s">
        <v>821</v>
      </c>
      <c r="K10" s="22" t="s">
        <v>723</v>
      </c>
      <c r="L10" s="22" t="s">
        <v>780</v>
      </c>
      <c r="M10" s="22" t="s">
        <v>822</v>
      </c>
      <c r="N10" s="22" t="s">
        <v>722</v>
      </c>
      <c r="O10" s="22" t="s">
        <v>216</v>
      </c>
      <c r="P10" s="22" t="s">
        <v>791</v>
      </c>
      <c r="R10" s="65" t="s">
        <v>823</v>
      </c>
      <c r="S10" s="66">
        <f>COUNTIF($P$4:$P$58,"CE-F1 Solo raíz")</f>
        <v>12</v>
      </c>
    </row>
    <row r="11" spans="1:19" ht="60" customHeight="1" x14ac:dyDescent="0.3">
      <c r="A11" s="22" t="s">
        <v>268</v>
      </c>
      <c r="B11" s="22" t="s">
        <v>124</v>
      </c>
      <c r="C11" s="22" t="s">
        <v>269</v>
      </c>
      <c r="D11" s="22" t="s">
        <v>272</v>
      </c>
      <c r="E11" s="22" t="s">
        <v>824</v>
      </c>
      <c r="F11" s="22" t="s">
        <v>825</v>
      </c>
      <c r="G11" s="22" t="s">
        <v>826</v>
      </c>
      <c r="H11" s="22" t="s">
        <v>776</v>
      </c>
      <c r="I11" s="22" t="s">
        <v>722</v>
      </c>
      <c r="J11" s="22" t="s">
        <v>827</v>
      </c>
      <c r="K11" s="22" t="s">
        <v>723</v>
      </c>
      <c r="L11" s="22" t="s">
        <v>780</v>
      </c>
      <c r="M11" s="22" t="s">
        <v>828</v>
      </c>
      <c r="N11" s="22" t="s">
        <v>722</v>
      </c>
      <c r="O11" s="22" t="s">
        <v>216</v>
      </c>
      <c r="P11" s="22" t="s">
        <v>782</v>
      </c>
      <c r="R11" s="65" t="s">
        <v>829</v>
      </c>
      <c r="S11" s="66">
        <f>COUNTIF($P$4:$P$58,"CI-F3 Sin información del tallo")</f>
        <v>2</v>
      </c>
    </row>
    <row r="12" spans="1:19" ht="60" customHeight="1" x14ac:dyDescent="0.3">
      <c r="A12" s="22" t="s">
        <v>276</v>
      </c>
      <c r="B12" s="22" t="s">
        <v>124</v>
      </c>
      <c r="C12" s="22" t="s">
        <v>277</v>
      </c>
      <c r="D12" s="22" t="s">
        <v>830</v>
      </c>
      <c r="E12" s="22" t="s">
        <v>831</v>
      </c>
      <c r="F12" s="22" t="s">
        <v>776</v>
      </c>
      <c r="G12" s="22" t="s">
        <v>832</v>
      </c>
      <c r="H12" s="22" t="s">
        <v>776</v>
      </c>
      <c r="I12" s="22" t="s">
        <v>797</v>
      </c>
      <c r="J12" s="22" t="s">
        <v>833</v>
      </c>
      <c r="K12" s="22" t="s">
        <v>723</v>
      </c>
      <c r="L12" s="22" t="s">
        <v>799</v>
      </c>
      <c r="M12" s="22" t="s">
        <v>834</v>
      </c>
      <c r="N12" s="22" t="s">
        <v>741</v>
      </c>
      <c r="O12" s="22" t="s">
        <v>216</v>
      </c>
      <c r="P12" s="22"/>
      <c r="R12" s="65" t="s">
        <v>835</v>
      </c>
      <c r="S12" s="66">
        <f>COUNTIF($P$4:$P$58,"CE-T2 No aborda enfermedades")</f>
        <v>5</v>
      </c>
    </row>
    <row r="13" spans="1:19" ht="60" customHeight="1" x14ac:dyDescent="0.3">
      <c r="A13" s="22" t="s">
        <v>284</v>
      </c>
      <c r="B13" s="22" t="s">
        <v>124</v>
      </c>
      <c r="C13" s="22" t="s">
        <v>285</v>
      </c>
      <c r="D13" s="22" t="s">
        <v>836</v>
      </c>
      <c r="E13" s="22" t="s">
        <v>837</v>
      </c>
      <c r="F13" s="22" t="s">
        <v>825</v>
      </c>
      <c r="G13" s="22" t="s">
        <v>838</v>
      </c>
      <c r="H13" s="22" t="s">
        <v>839</v>
      </c>
      <c r="I13" s="22" t="s">
        <v>722</v>
      </c>
      <c r="J13" s="22" t="s">
        <v>840</v>
      </c>
      <c r="K13" s="22" t="s">
        <v>723</v>
      </c>
      <c r="L13" s="22" t="s">
        <v>780</v>
      </c>
      <c r="M13" s="22" t="s">
        <v>841</v>
      </c>
      <c r="N13" s="22" t="s">
        <v>722</v>
      </c>
      <c r="O13" s="22" t="s">
        <v>216</v>
      </c>
      <c r="P13" s="22" t="s">
        <v>842</v>
      </c>
      <c r="R13" s="65" t="s">
        <v>843</v>
      </c>
      <c r="S13" s="66">
        <f>COUNTIF($P$4:$P$58,"CE-T1 No usa IA")</f>
        <v>1</v>
      </c>
    </row>
    <row r="14" spans="1:19" ht="60" customHeight="1" x14ac:dyDescent="0.3">
      <c r="A14" s="22" t="s">
        <v>291</v>
      </c>
      <c r="B14" s="22" t="s">
        <v>124</v>
      </c>
      <c r="C14" s="22" t="s">
        <v>292</v>
      </c>
      <c r="D14" s="22" t="s">
        <v>844</v>
      </c>
      <c r="E14" s="22" t="s">
        <v>845</v>
      </c>
      <c r="F14" s="22" t="s">
        <v>786</v>
      </c>
      <c r="G14" s="22" t="s">
        <v>846</v>
      </c>
      <c r="H14" s="22" t="s">
        <v>788</v>
      </c>
      <c r="I14" s="22" t="s">
        <v>722</v>
      </c>
      <c r="J14" s="22" t="s">
        <v>805</v>
      </c>
      <c r="K14" s="22" t="s">
        <v>723</v>
      </c>
      <c r="L14" s="22" t="s">
        <v>780</v>
      </c>
      <c r="M14" s="22" t="s">
        <v>790</v>
      </c>
      <c r="N14" s="22" t="s">
        <v>722</v>
      </c>
      <c r="O14" s="22" t="s">
        <v>216</v>
      </c>
      <c r="P14" s="22" t="s">
        <v>791</v>
      </c>
      <c r="R14" s="73" t="s">
        <v>847</v>
      </c>
      <c r="S14" s="74"/>
    </row>
    <row r="15" spans="1:19" ht="60" customHeight="1" x14ac:dyDescent="0.3">
      <c r="A15" s="22" t="s">
        <v>298</v>
      </c>
      <c r="B15" s="22" t="s">
        <v>124</v>
      </c>
      <c r="C15" s="22" t="s">
        <v>299</v>
      </c>
      <c r="D15" s="22" t="s">
        <v>848</v>
      </c>
      <c r="E15" s="22" t="s">
        <v>849</v>
      </c>
      <c r="F15" s="22" t="s">
        <v>850</v>
      </c>
      <c r="G15" s="22" t="s">
        <v>851</v>
      </c>
      <c r="H15" s="22" t="s">
        <v>788</v>
      </c>
      <c r="I15" s="22" t="s">
        <v>722</v>
      </c>
      <c r="J15" s="22" t="s">
        <v>852</v>
      </c>
      <c r="K15" s="22" t="s">
        <v>723</v>
      </c>
      <c r="L15" s="22" t="s">
        <v>780</v>
      </c>
      <c r="M15" s="22" t="s">
        <v>822</v>
      </c>
      <c r="N15" s="22" t="s">
        <v>722</v>
      </c>
      <c r="O15" s="22" t="s">
        <v>216</v>
      </c>
      <c r="P15" s="22" t="s">
        <v>791</v>
      </c>
      <c r="R15" s="71" t="s">
        <v>853</v>
      </c>
      <c r="S15" s="72">
        <f>COUNTIF($O$4:$O$58,"Fitopatológico")</f>
        <v>43</v>
      </c>
    </row>
    <row r="16" spans="1:19" ht="60" customHeight="1" x14ac:dyDescent="0.3">
      <c r="A16" s="22" t="s">
        <v>306</v>
      </c>
      <c r="B16" s="22" t="s">
        <v>124</v>
      </c>
      <c r="C16" s="22" t="s">
        <v>307</v>
      </c>
      <c r="D16" s="22" t="s">
        <v>310</v>
      </c>
      <c r="E16" s="22" t="s">
        <v>854</v>
      </c>
      <c r="F16" s="22" t="s">
        <v>825</v>
      </c>
      <c r="G16" s="22" t="s">
        <v>838</v>
      </c>
      <c r="H16" s="22" t="s">
        <v>839</v>
      </c>
      <c r="I16" s="22" t="s">
        <v>722</v>
      </c>
      <c r="J16" s="22" t="s">
        <v>855</v>
      </c>
      <c r="K16" s="22" t="s">
        <v>723</v>
      </c>
      <c r="L16" s="22" t="s">
        <v>780</v>
      </c>
      <c r="M16" s="22" t="s">
        <v>856</v>
      </c>
      <c r="N16" s="22" t="s">
        <v>722</v>
      </c>
      <c r="O16" s="22" t="s">
        <v>216</v>
      </c>
      <c r="P16" s="22" t="s">
        <v>842</v>
      </c>
      <c r="R16" s="71" t="s">
        <v>857</v>
      </c>
      <c r="S16" s="72">
        <f>COUNTIFS($O$4:$O$58,"Fitopatológico",$N$4:$N$58,"Sí")</f>
        <v>16</v>
      </c>
    </row>
    <row r="17" spans="1:19" ht="60" customHeight="1" x14ac:dyDescent="0.3">
      <c r="A17" s="22" t="s">
        <v>313</v>
      </c>
      <c r="B17" s="22" t="s">
        <v>124</v>
      </c>
      <c r="C17" s="22" t="s">
        <v>314</v>
      </c>
      <c r="D17" s="22" t="s">
        <v>858</v>
      </c>
      <c r="E17" s="22" t="s">
        <v>859</v>
      </c>
      <c r="F17" s="22" t="s">
        <v>776</v>
      </c>
      <c r="G17" s="22" t="s">
        <v>860</v>
      </c>
      <c r="H17" s="22" t="s">
        <v>796</v>
      </c>
      <c r="I17" s="22" t="s">
        <v>797</v>
      </c>
      <c r="J17" s="22" t="s">
        <v>861</v>
      </c>
      <c r="K17" s="22" t="s">
        <v>723</v>
      </c>
      <c r="L17" s="22" t="s">
        <v>799</v>
      </c>
      <c r="M17" s="22" t="s">
        <v>862</v>
      </c>
      <c r="N17" s="22" t="s">
        <v>741</v>
      </c>
      <c r="O17" s="22" t="s">
        <v>216</v>
      </c>
      <c r="P17" s="22"/>
      <c r="R17" s="71" t="s">
        <v>863</v>
      </c>
      <c r="S17" s="72">
        <f>COUNTIF($O$4:$O$58,"Tecnológico")</f>
        <v>12</v>
      </c>
    </row>
    <row r="18" spans="1:19" ht="60" customHeight="1" x14ac:dyDescent="0.3">
      <c r="A18" s="22" t="s">
        <v>321</v>
      </c>
      <c r="B18" s="22" t="s">
        <v>124</v>
      </c>
      <c r="C18" s="22" t="s">
        <v>322</v>
      </c>
      <c r="D18" s="22" t="s">
        <v>864</v>
      </c>
      <c r="E18" s="22" t="s">
        <v>865</v>
      </c>
      <c r="F18" s="22" t="s">
        <v>866</v>
      </c>
      <c r="G18" s="22" t="s">
        <v>867</v>
      </c>
      <c r="H18" s="22" t="s">
        <v>776</v>
      </c>
      <c r="I18" s="22" t="s">
        <v>797</v>
      </c>
      <c r="J18" s="22" t="s">
        <v>868</v>
      </c>
      <c r="K18" s="22" t="s">
        <v>723</v>
      </c>
      <c r="L18" s="22" t="s">
        <v>799</v>
      </c>
      <c r="M18" s="22" t="s">
        <v>869</v>
      </c>
      <c r="N18" s="22" t="s">
        <v>741</v>
      </c>
      <c r="O18" s="22" t="s">
        <v>216</v>
      </c>
      <c r="P18" s="22"/>
      <c r="R18" s="71" t="s">
        <v>870</v>
      </c>
      <c r="S18" s="72">
        <f>COUNTIFS($O$4:$O$58,"Tecnológico",$N$4:$N$58,"Sí")</f>
        <v>6</v>
      </c>
    </row>
    <row r="19" spans="1:19" ht="60" customHeight="1" x14ac:dyDescent="0.3">
      <c r="A19" s="22" t="s">
        <v>329</v>
      </c>
      <c r="B19" s="22" t="s">
        <v>124</v>
      </c>
      <c r="C19" s="22" t="s">
        <v>330</v>
      </c>
      <c r="D19" s="22" t="s">
        <v>871</v>
      </c>
      <c r="E19" s="22" t="s">
        <v>872</v>
      </c>
      <c r="F19" s="22" t="s">
        <v>866</v>
      </c>
      <c r="G19" s="22" t="s">
        <v>873</v>
      </c>
      <c r="H19" s="22" t="s">
        <v>776</v>
      </c>
      <c r="I19" s="22" t="s">
        <v>797</v>
      </c>
      <c r="J19" s="22" t="s">
        <v>874</v>
      </c>
      <c r="K19" s="22" t="s">
        <v>723</v>
      </c>
      <c r="L19" s="22" t="s">
        <v>799</v>
      </c>
      <c r="M19" s="22" t="s">
        <v>875</v>
      </c>
      <c r="N19" s="22" t="s">
        <v>741</v>
      </c>
      <c r="O19" s="22" t="s">
        <v>216</v>
      </c>
      <c r="P19" s="22"/>
      <c r="R19" s="71" t="s">
        <v>876</v>
      </c>
      <c r="S19" s="99" t="str">
        <f>IF(S7+S8=S6,"Correcto","Revisar")</f>
        <v>Correcto</v>
      </c>
    </row>
    <row r="20" spans="1:19" ht="60" customHeight="1" x14ac:dyDescent="0.3">
      <c r="A20" s="22" t="s">
        <v>336</v>
      </c>
      <c r="B20" s="22" t="s">
        <v>124</v>
      </c>
      <c r="C20" s="22" t="s">
        <v>337</v>
      </c>
      <c r="D20" s="22" t="s">
        <v>877</v>
      </c>
      <c r="E20" s="22" t="s">
        <v>878</v>
      </c>
      <c r="F20" s="22" t="s">
        <v>879</v>
      </c>
      <c r="G20" s="22" t="s">
        <v>880</v>
      </c>
      <c r="H20" s="22" t="s">
        <v>796</v>
      </c>
      <c r="I20" s="22" t="s">
        <v>881</v>
      </c>
      <c r="J20" s="22" t="s">
        <v>882</v>
      </c>
      <c r="K20" s="22" t="s">
        <v>723</v>
      </c>
      <c r="L20" s="22" t="s">
        <v>814</v>
      </c>
      <c r="M20" s="22" t="s">
        <v>883</v>
      </c>
      <c r="N20" s="22" t="s">
        <v>741</v>
      </c>
      <c r="O20" s="22" t="s">
        <v>216</v>
      </c>
      <c r="P20" s="22"/>
    </row>
    <row r="21" spans="1:19" ht="60" customHeight="1" x14ac:dyDescent="0.3">
      <c r="A21" s="22" t="s">
        <v>345</v>
      </c>
      <c r="B21" s="22" t="s">
        <v>124</v>
      </c>
      <c r="C21" s="22" t="s">
        <v>346</v>
      </c>
      <c r="D21" s="22" t="s">
        <v>349</v>
      </c>
      <c r="E21" s="22" t="s">
        <v>884</v>
      </c>
      <c r="F21" s="22" t="s">
        <v>776</v>
      </c>
      <c r="G21" s="22" t="s">
        <v>885</v>
      </c>
      <c r="H21" s="22" t="s">
        <v>776</v>
      </c>
      <c r="I21" s="22" t="s">
        <v>797</v>
      </c>
      <c r="J21" s="22" t="s">
        <v>886</v>
      </c>
      <c r="K21" s="22" t="s">
        <v>723</v>
      </c>
      <c r="L21" s="22" t="s">
        <v>799</v>
      </c>
      <c r="M21" s="22" t="s">
        <v>887</v>
      </c>
      <c r="N21" s="22" t="s">
        <v>741</v>
      </c>
      <c r="O21" s="22" t="s">
        <v>216</v>
      </c>
      <c r="P21" s="22"/>
    </row>
    <row r="22" spans="1:19" ht="60" customHeight="1" x14ac:dyDescent="0.3">
      <c r="A22" s="22" t="s">
        <v>352</v>
      </c>
      <c r="B22" s="22" t="s">
        <v>124</v>
      </c>
      <c r="C22" s="22" t="s">
        <v>353</v>
      </c>
      <c r="D22" s="22" t="s">
        <v>356</v>
      </c>
      <c r="E22" s="22" t="s">
        <v>888</v>
      </c>
      <c r="F22" s="22" t="s">
        <v>776</v>
      </c>
      <c r="G22" s="22" t="s">
        <v>889</v>
      </c>
      <c r="H22" s="22" t="s">
        <v>788</v>
      </c>
      <c r="I22" s="22" t="s">
        <v>722</v>
      </c>
      <c r="J22" s="22" t="s">
        <v>821</v>
      </c>
      <c r="K22" s="22" t="s">
        <v>723</v>
      </c>
      <c r="L22" s="22" t="s">
        <v>780</v>
      </c>
      <c r="M22" s="22" t="s">
        <v>890</v>
      </c>
      <c r="N22" s="22" t="s">
        <v>722</v>
      </c>
      <c r="O22" s="22" t="s">
        <v>216</v>
      </c>
      <c r="P22" s="22" t="s">
        <v>791</v>
      </c>
    </row>
    <row r="23" spans="1:19" ht="60" customHeight="1" x14ac:dyDescent="0.3">
      <c r="A23" s="22" t="s">
        <v>359</v>
      </c>
      <c r="B23" s="22" t="s">
        <v>124</v>
      </c>
      <c r="C23" s="22" t="s">
        <v>360</v>
      </c>
      <c r="D23" s="22" t="s">
        <v>891</v>
      </c>
      <c r="E23" s="22" t="s">
        <v>892</v>
      </c>
      <c r="F23" s="22" t="s">
        <v>776</v>
      </c>
      <c r="G23" s="22" t="s">
        <v>893</v>
      </c>
      <c r="H23" s="22" t="s">
        <v>788</v>
      </c>
      <c r="I23" s="22" t="s">
        <v>722</v>
      </c>
      <c r="J23" s="22" t="s">
        <v>894</v>
      </c>
      <c r="K23" s="22" t="s">
        <v>723</v>
      </c>
      <c r="L23" s="22" t="s">
        <v>780</v>
      </c>
      <c r="M23" s="22" t="s">
        <v>790</v>
      </c>
      <c r="N23" s="22" t="s">
        <v>722</v>
      </c>
      <c r="O23" s="22" t="s">
        <v>216</v>
      </c>
      <c r="P23" s="22" t="s">
        <v>791</v>
      </c>
    </row>
    <row r="24" spans="1:19" ht="60" customHeight="1" x14ac:dyDescent="0.3">
      <c r="A24" s="22" t="s">
        <v>366</v>
      </c>
      <c r="B24" s="22" t="s">
        <v>124</v>
      </c>
      <c r="C24" s="22" t="s">
        <v>367</v>
      </c>
      <c r="D24" s="22" t="s">
        <v>895</v>
      </c>
      <c r="E24" s="22" t="s">
        <v>896</v>
      </c>
      <c r="F24" s="22" t="s">
        <v>825</v>
      </c>
      <c r="G24" s="22" t="s">
        <v>838</v>
      </c>
      <c r="H24" s="22" t="s">
        <v>839</v>
      </c>
      <c r="I24" s="22" t="s">
        <v>722</v>
      </c>
      <c r="J24" s="22" t="s">
        <v>840</v>
      </c>
      <c r="K24" s="22" t="s">
        <v>723</v>
      </c>
      <c r="L24" s="22" t="s">
        <v>780</v>
      </c>
      <c r="M24" s="22" t="s">
        <v>841</v>
      </c>
      <c r="N24" s="22" t="s">
        <v>722</v>
      </c>
      <c r="O24" s="22" t="s">
        <v>216</v>
      </c>
      <c r="P24" s="22" t="s">
        <v>842</v>
      </c>
    </row>
    <row r="25" spans="1:19" ht="60" customHeight="1" x14ac:dyDescent="0.3">
      <c r="A25" s="22" t="s">
        <v>373</v>
      </c>
      <c r="B25" s="22" t="s">
        <v>124</v>
      </c>
      <c r="C25" s="22" t="s">
        <v>374</v>
      </c>
      <c r="D25" s="22" t="s">
        <v>377</v>
      </c>
      <c r="E25" s="22" t="s">
        <v>897</v>
      </c>
      <c r="F25" s="22" t="s">
        <v>776</v>
      </c>
      <c r="G25" s="22" t="s">
        <v>898</v>
      </c>
      <c r="H25" s="22" t="s">
        <v>899</v>
      </c>
      <c r="I25" s="22" t="s">
        <v>797</v>
      </c>
      <c r="J25" s="22" t="s">
        <v>900</v>
      </c>
      <c r="K25" s="22" t="s">
        <v>723</v>
      </c>
      <c r="L25" s="22" t="s">
        <v>799</v>
      </c>
      <c r="M25" s="22" t="s">
        <v>901</v>
      </c>
      <c r="N25" s="22" t="s">
        <v>741</v>
      </c>
      <c r="O25" s="22" t="s">
        <v>216</v>
      </c>
      <c r="P25" s="22"/>
    </row>
    <row r="26" spans="1:19" ht="60" customHeight="1" x14ac:dyDescent="0.3">
      <c r="A26" s="22" t="s">
        <v>380</v>
      </c>
      <c r="B26" s="22" t="s">
        <v>124</v>
      </c>
      <c r="C26" s="22" t="s">
        <v>381</v>
      </c>
      <c r="D26" s="22" t="s">
        <v>902</v>
      </c>
      <c r="E26" s="22" t="s">
        <v>903</v>
      </c>
      <c r="F26" s="22" t="s">
        <v>825</v>
      </c>
      <c r="G26" s="22" t="s">
        <v>838</v>
      </c>
      <c r="H26" s="22" t="s">
        <v>839</v>
      </c>
      <c r="I26" s="22" t="s">
        <v>722</v>
      </c>
      <c r="J26" s="22" t="s">
        <v>840</v>
      </c>
      <c r="K26" s="22" t="s">
        <v>723</v>
      </c>
      <c r="L26" s="22" t="s">
        <v>780</v>
      </c>
      <c r="M26" s="22" t="s">
        <v>904</v>
      </c>
      <c r="N26" s="22" t="s">
        <v>722</v>
      </c>
      <c r="O26" s="22" t="s">
        <v>216</v>
      </c>
      <c r="P26" s="22" t="s">
        <v>842</v>
      </c>
    </row>
    <row r="27" spans="1:19" ht="60" customHeight="1" x14ac:dyDescent="0.3">
      <c r="A27" s="22" t="s">
        <v>386</v>
      </c>
      <c r="B27" s="22" t="s">
        <v>124</v>
      </c>
      <c r="C27" s="22" t="s">
        <v>387</v>
      </c>
      <c r="D27" s="22" t="s">
        <v>905</v>
      </c>
      <c r="E27" s="22" t="s">
        <v>906</v>
      </c>
      <c r="F27" s="22" t="s">
        <v>866</v>
      </c>
      <c r="G27" s="22" t="s">
        <v>907</v>
      </c>
      <c r="H27" s="22" t="s">
        <v>899</v>
      </c>
      <c r="I27" s="22" t="s">
        <v>797</v>
      </c>
      <c r="J27" s="22" t="s">
        <v>861</v>
      </c>
      <c r="K27" s="22" t="s">
        <v>723</v>
      </c>
      <c r="L27" s="22" t="s">
        <v>814</v>
      </c>
      <c r="M27" s="22" t="s">
        <v>908</v>
      </c>
      <c r="N27" s="22" t="s">
        <v>741</v>
      </c>
      <c r="O27" s="22" t="s">
        <v>216</v>
      </c>
      <c r="P27" s="22"/>
    </row>
    <row r="28" spans="1:19" ht="60" customHeight="1" x14ac:dyDescent="0.3">
      <c r="A28" s="22" t="s">
        <v>392</v>
      </c>
      <c r="B28" s="22" t="s">
        <v>124</v>
      </c>
      <c r="C28" s="22" t="s">
        <v>393</v>
      </c>
      <c r="D28" s="22" t="s">
        <v>396</v>
      </c>
      <c r="E28" s="22" t="s">
        <v>909</v>
      </c>
      <c r="F28" s="22" t="s">
        <v>819</v>
      </c>
      <c r="G28" s="22" t="s">
        <v>820</v>
      </c>
      <c r="H28" s="22" t="s">
        <v>796</v>
      </c>
      <c r="I28" s="22" t="s">
        <v>797</v>
      </c>
      <c r="J28" s="22" t="s">
        <v>910</v>
      </c>
      <c r="K28" s="22" t="s">
        <v>723</v>
      </c>
      <c r="L28" s="22" t="s">
        <v>799</v>
      </c>
      <c r="M28" s="22" t="s">
        <v>911</v>
      </c>
      <c r="N28" s="22" t="s">
        <v>741</v>
      </c>
      <c r="O28" s="22" t="s">
        <v>216</v>
      </c>
      <c r="P28" s="22"/>
    </row>
    <row r="29" spans="1:19" ht="60" customHeight="1" x14ac:dyDescent="0.3">
      <c r="A29" s="22" t="s">
        <v>399</v>
      </c>
      <c r="B29" s="22" t="s">
        <v>124</v>
      </c>
      <c r="C29" s="22" t="s">
        <v>400</v>
      </c>
      <c r="D29" s="22" t="s">
        <v>403</v>
      </c>
      <c r="E29" s="22" t="s">
        <v>912</v>
      </c>
      <c r="F29" s="22" t="s">
        <v>825</v>
      </c>
      <c r="G29" s="22" t="s">
        <v>913</v>
      </c>
      <c r="H29" s="22" t="s">
        <v>839</v>
      </c>
      <c r="I29" s="22" t="s">
        <v>722</v>
      </c>
      <c r="J29" s="22" t="s">
        <v>855</v>
      </c>
      <c r="K29" s="22" t="s">
        <v>723</v>
      </c>
      <c r="L29" s="22" t="s">
        <v>780</v>
      </c>
      <c r="M29" s="22" t="s">
        <v>914</v>
      </c>
      <c r="N29" s="22" t="s">
        <v>722</v>
      </c>
      <c r="O29" s="22" t="s">
        <v>216</v>
      </c>
      <c r="P29" s="22" t="s">
        <v>842</v>
      </c>
    </row>
    <row r="30" spans="1:19" ht="60" customHeight="1" x14ac:dyDescent="0.3">
      <c r="A30" s="22" t="s">
        <v>407</v>
      </c>
      <c r="B30" s="22" t="s">
        <v>124</v>
      </c>
      <c r="C30" s="22" t="s">
        <v>408</v>
      </c>
      <c r="D30" s="22" t="s">
        <v>915</v>
      </c>
      <c r="E30" s="22" t="s">
        <v>916</v>
      </c>
      <c r="F30" s="22" t="s">
        <v>866</v>
      </c>
      <c r="G30" s="22" t="s">
        <v>917</v>
      </c>
      <c r="H30" s="22" t="s">
        <v>788</v>
      </c>
      <c r="I30" s="22" t="s">
        <v>722</v>
      </c>
      <c r="J30" s="22" t="s">
        <v>918</v>
      </c>
      <c r="K30" s="22" t="s">
        <v>723</v>
      </c>
      <c r="L30" s="22" t="s">
        <v>780</v>
      </c>
      <c r="M30" s="22" t="s">
        <v>790</v>
      </c>
      <c r="N30" s="22" t="s">
        <v>722</v>
      </c>
      <c r="O30" s="22" t="s">
        <v>216</v>
      </c>
      <c r="P30" s="22" t="s">
        <v>791</v>
      </c>
    </row>
    <row r="31" spans="1:19" ht="60" customHeight="1" x14ac:dyDescent="0.3">
      <c r="A31" s="22" t="s">
        <v>413</v>
      </c>
      <c r="B31" s="22" t="s">
        <v>124</v>
      </c>
      <c r="C31" s="22" t="s">
        <v>414</v>
      </c>
      <c r="D31" s="22" t="s">
        <v>417</v>
      </c>
      <c r="E31" s="22" t="s">
        <v>919</v>
      </c>
      <c r="F31" s="22" t="s">
        <v>786</v>
      </c>
      <c r="G31" s="22" t="s">
        <v>920</v>
      </c>
      <c r="H31" s="22" t="s">
        <v>788</v>
      </c>
      <c r="I31" s="22" t="s">
        <v>722</v>
      </c>
      <c r="J31" s="22" t="s">
        <v>805</v>
      </c>
      <c r="K31" s="22" t="s">
        <v>723</v>
      </c>
      <c r="L31" s="22" t="s">
        <v>780</v>
      </c>
      <c r="M31" s="22" t="s">
        <v>790</v>
      </c>
      <c r="N31" s="22" t="s">
        <v>722</v>
      </c>
      <c r="O31" s="22" t="s">
        <v>216</v>
      </c>
      <c r="P31" s="22" t="s">
        <v>791</v>
      </c>
    </row>
    <row r="32" spans="1:19" ht="60" customHeight="1" x14ac:dyDescent="0.3">
      <c r="A32" s="22" t="s">
        <v>420</v>
      </c>
      <c r="B32" s="22" t="s">
        <v>124</v>
      </c>
      <c r="C32" s="22" t="s">
        <v>421</v>
      </c>
      <c r="D32" s="22" t="s">
        <v>921</v>
      </c>
      <c r="E32" s="22" t="s">
        <v>922</v>
      </c>
      <c r="F32" s="22" t="s">
        <v>825</v>
      </c>
      <c r="G32" s="22" t="s">
        <v>838</v>
      </c>
      <c r="H32" s="22" t="s">
        <v>776</v>
      </c>
      <c r="I32" s="22" t="s">
        <v>722</v>
      </c>
      <c r="J32" s="22" t="s">
        <v>923</v>
      </c>
      <c r="K32" s="22" t="s">
        <v>723</v>
      </c>
      <c r="L32" s="22" t="s">
        <v>814</v>
      </c>
      <c r="M32" s="22" t="s">
        <v>924</v>
      </c>
      <c r="N32" s="22" t="s">
        <v>741</v>
      </c>
      <c r="O32" s="22" t="s">
        <v>216</v>
      </c>
      <c r="P32" s="22"/>
    </row>
    <row r="33" spans="1:16" ht="60" customHeight="1" x14ac:dyDescent="0.3">
      <c r="A33" s="22" t="s">
        <v>427</v>
      </c>
      <c r="B33" s="22" t="s">
        <v>124</v>
      </c>
      <c r="C33" s="22" t="s">
        <v>428</v>
      </c>
      <c r="D33" s="22" t="s">
        <v>431</v>
      </c>
      <c r="E33" s="22" t="s">
        <v>925</v>
      </c>
      <c r="F33" s="22" t="s">
        <v>825</v>
      </c>
      <c r="G33" s="22" t="s">
        <v>838</v>
      </c>
      <c r="H33" s="22" t="s">
        <v>839</v>
      </c>
      <c r="I33" s="22" t="s">
        <v>722</v>
      </c>
      <c r="J33" s="22" t="s">
        <v>926</v>
      </c>
      <c r="K33" s="22" t="s">
        <v>723</v>
      </c>
      <c r="L33" s="22" t="s">
        <v>780</v>
      </c>
      <c r="M33" s="22" t="s">
        <v>927</v>
      </c>
      <c r="N33" s="22" t="s">
        <v>722</v>
      </c>
      <c r="O33" s="22" t="s">
        <v>216</v>
      </c>
      <c r="P33" s="22" t="s">
        <v>842</v>
      </c>
    </row>
    <row r="34" spans="1:16" ht="60" customHeight="1" x14ac:dyDescent="0.3">
      <c r="A34" s="22" t="s">
        <v>434</v>
      </c>
      <c r="B34" s="22" t="s">
        <v>124</v>
      </c>
      <c r="C34" s="22" t="s">
        <v>435</v>
      </c>
      <c r="D34" s="22" t="s">
        <v>928</v>
      </c>
      <c r="E34" s="22" t="s">
        <v>929</v>
      </c>
      <c r="F34" s="22" t="s">
        <v>776</v>
      </c>
      <c r="G34" s="22" t="s">
        <v>930</v>
      </c>
      <c r="H34" s="22" t="s">
        <v>776</v>
      </c>
      <c r="I34" s="22" t="s">
        <v>722</v>
      </c>
      <c r="J34" s="22" t="s">
        <v>931</v>
      </c>
      <c r="K34" s="22" t="s">
        <v>723</v>
      </c>
      <c r="L34" s="22" t="s">
        <v>814</v>
      </c>
      <c r="M34" s="22" t="s">
        <v>932</v>
      </c>
      <c r="N34" s="22" t="s">
        <v>741</v>
      </c>
      <c r="O34" s="22" t="s">
        <v>216</v>
      </c>
      <c r="P34" s="22"/>
    </row>
    <row r="35" spans="1:16" ht="60" customHeight="1" x14ac:dyDescent="0.3">
      <c r="A35" s="22" t="s">
        <v>441</v>
      </c>
      <c r="B35" s="22" t="s">
        <v>124</v>
      </c>
      <c r="C35" s="22" t="s">
        <v>442</v>
      </c>
      <c r="D35" s="22" t="s">
        <v>445</v>
      </c>
      <c r="E35" s="22" t="s">
        <v>933</v>
      </c>
      <c r="F35" s="22" t="s">
        <v>825</v>
      </c>
      <c r="G35" s="22" t="s">
        <v>934</v>
      </c>
      <c r="H35" s="22" t="s">
        <v>839</v>
      </c>
      <c r="I35" s="22" t="s">
        <v>722</v>
      </c>
      <c r="J35" s="22" t="s">
        <v>935</v>
      </c>
      <c r="K35" s="22" t="s">
        <v>723</v>
      </c>
      <c r="L35" s="22" t="s">
        <v>780</v>
      </c>
      <c r="M35" s="22" t="s">
        <v>914</v>
      </c>
      <c r="N35" s="22" t="s">
        <v>722</v>
      </c>
      <c r="O35" s="22" t="s">
        <v>216</v>
      </c>
      <c r="P35" s="22" t="s">
        <v>842</v>
      </c>
    </row>
    <row r="36" spans="1:16" ht="60" customHeight="1" x14ac:dyDescent="0.3">
      <c r="A36" s="22" t="s">
        <v>449</v>
      </c>
      <c r="B36" s="22" t="s">
        <v>124</v>
      </c>
      <c r="C36" s="22" t="s">
        <v>450</v>
      </c>
      <c r="D36" s="22" t="s">
        <v>936</v>
      </c>
      <c r="E36" s="22" t="s">
        <v>937</v>
      </c>
      <c r="F36" s="22" t="s">
        <v>786</v>
      </c>
      <c r="G36" s="22" t="s">
        <v>938</v>
      </c>
      <c r="H36" s="22" t="s">
        <v>788</v>
      </c>
      <c r="I36" s="22" t="s">
        <v>722</v>
      </c>
      <c r="J36" s="22" t="s">
        <v>805</v>
      </c>
      <c r="K36" s="22" t="s">
        <v>723</v>
      </c>
      <c r="L36" s="22" t="s">
        <v>780</v>
      </c>
      <c r="M36" s="22" t="s">
        <v>790</v>
      </c>
      <c r="N36" s="22" t="s">
        <v>722</v>
      </c>
      <c r="O36" s="22" t="s">
        <v>216</v>
      </c>
      <c r="P36" s="22" t="s">
        <v>791</v>
      </c>
    </row>
    <row r="37" spans="1:16" ht="60" customHeight="1" x14ac:dyDescent="0.3">
      <c r="A37" s="22" t="s">
        <v>456</v>
      </c>
      <c r="B37" s="22" t="s">
        <v>124</v>
      </c>
      <c r="C37" s="22" t="s">
        <v>457</v>
      </c>
      <c r="D37" s="22" t="s">
        <v>939</v>
      </c>
      <c r="E37" s="22" t="s">
        <v>940</v>
      </c>
      <c r="F37" s="22" t="s">
        <v>776</v>
      </c>
      <c r="G37" s="22" t="s">
        <v>941</v>
      </c>
      <c r="H37" s="22" t="s">
        <v>788</v>
      </c>
      <c r="I37" s="22" t="s">
        <v>722</v>
      </c>
      <c r="J37" s="22" t="s">
        <v>942</v>
      </c>
      <c r="K37" s="22" t="s">
        <v>723</v>
      </c>
      <c r="L37" s="22" t="s">
        <v>780</v>
      </c>
      <c r="M37" s="22" t="s">
        <v>943</v>
      </c>
      <c r="N37" s="22" t="s">
        <v>722</v>
      </c>
      <c r="O37" s="22" t="s">
        <v>216</v>
      </c>
      <c r="P37" s="22" t="s">
        <v>791</v>
      </c>
    </row>
    <row r="38" spans="1:16" ht="60" customHeight="1" x14ac:dyDescent="0.3">
      <c r="A38" s="22" t="s">
        <v>463</v>
      </c>
      <c r="B38" s="22" t="s">
        <v>124</v>
      </c>
      <c r="C38" s="22" t="s">
        <v>464</v>
      </c>
      <c r="D38" s="22" t="s">
        <v>467</v>
      </c>
      <c r="E38" s="22" t="s">
        <v>944</v>
      </c>
      <c r="F38" s="22" t="s">
        <v>825</v>
      </c>
      <c r="G38" s="22" t="s">
        <v>838</v>
      </c>
      <c r="H38" s="22" t="s">
        <v>776</v>
      </c>
      <c r="I38" s="22" t="s">
        <v>881</v>
      </c>
      <c r="J38" s="22" t="s">
        <v>945</v>
      </c>
      <c r="K38" s="22" t="s">
        <v>723</v>
      </c>
      <c r="L38" s="22" t="s">
        <v>814</v>
      </c>
      <c r="M38" s="22" t="s">
        <v>946</v>
      </c>
      <c r="N38" s="22" t="s">
        <v>741</v>
      </c>
      <c r="O38" s="22" t="s">
        <v>216</v>
      </c>
      <c r="P38" s="22"/>
    </row>
    <row r="39" spans="1:16" ht="60" customHeight="1" x14ac:dyDescent="0.3">
      <c r="A39" s="22" t="s">
        <v>470</v>
      </c>
      <c r="B39" s="22" t="s">
        <v>124</v>
      </c>
      <c r="C39" s="22" t="s">
        <v>471</v>
      </c>
      <c r="D39" s="22" t="s">
        <v>356</v>
      </c>
      <c r="E39" s="22" t="s">
        <v>947</v>
      </c>
      <c r="F39" s="22" t="s">
        <v>776</v>
      </c>
      <c r="G39" s="22" t="s">
        <v>948</v>
      </c>
      <c r="H39" s="22" t="s">
        <v>788</v>
      </c>
      <c r="I39" s="22" t="s">
        <v>722</v>
      </c>
      <c r="J39" s="22" t="s">
        <v>821</v>
      </c>
      <c r="K39" s="22" t="s">
        <v>723</v>
      </c>
      <c r="L39" s="22" t="s">
        <v>780</v>
      </c>
      <c r="M39" s="22" t="s">
        <v>949</v>
      </c>
      <c r="N39" s="22" t="s">
        <v>722</v>
      </c>
      <c r="O39" s="22" t="s">
        <v>216</v>
      </c>
      <c r="P39" s="22" t="s">
        <v>791</v>
      </c>
    </row>
    <row r="40" spans="1:16" ht="60" customHeight="1" x14ac:dyDescent="0.3">
      <c r="A40" s="22" t="s">
        <v>476</v>
      </c>
      <c r="B40" s="22" t="s">
        <v>124</v>
      </c>
      <c r="C40" s="22" t="s">
        <v>477</v>
      </c>
      <c r="D40" s="22" t="s">
        <v>950</v>
      </c>
      <c r="E40" s="22" t="s">
        <v>951</v>
      </c>
      <c r="F40" s="22" t="s">
        <v>825</v>
      </c>
      <c r="G40" s="22" t="s">
        <v>838</v>
      </c>
      <c r="H40" s="22" t="s">
        <v>839</v>
      </c>
      <c r="I40" s="22" t="s">
        <v>722</v>
      </c>
      <c r="J40" s="22" t="s">
        <v>840</v>
      </c>
      <c r="K40" s="22" t="s">
        <v>723</v>
      </c>
      <c r="L40" s="22" t="s">
        <v>780</v>
      </c>
      <c r="M40" s="22" t="s">
        <v>952</v>
      </c>
      <c r="N40" s="22" t="s">
        <v>722</v>
      </c>
      <c r="O40" s="22" t="s">
        <v>216</v>
      </c>
      <c r="P40" s="22" t="s">
        <v>842</v>
      </c>
    </row>
    <row r="41" spans="1:16" ht="60" customHeight="1" x14ac:dyDescent="0.3">
      <c r="A41" s="22" t="s">
        <v>483</v>
      </c>
      <c r="B41" s="22" t="s">
        <v>124</v>
      </c>
      <c r="C41" s="22" t="s">
        <v>484</v>
      </c>
      <c r="D41" s="22" t="s">
        <v>487</v>
      </c>
      <c r="E41" s="22" t="s">
        <v>953</v>
      </c>
      <c r="F41" s="22" t="s">
        <v>866</v>
      </c>
      <c r="G41" s="22" t="s">
        <v>954</v>
      </c>
      <c r="H41" s="22" t="s">
        <v>776</v>
      </c>
      <c r="I41" s="22" t="s">
        <v>797</v>
      </c>
      <c r="J41" s="22" t="s">
        <v>955</v>
      </c>
      <c r="K41" s="22" t="s">
        <v>723</v>
      </c>
      <c r="L41" s="22" t="s">
        <v>814</v>
      </c>
      <c r="M41" s="22" t="s">
        <v>956</v>
      </c>
      <c r="N41" s="22" t="s">
        <v>741</v>
      </c>
      <c r="O41" s="22" t="s">
        <v>216</v>
      </c>
      <c r="P41" s="22"/>
    </row>
    <row r="42" spans="1:16" ht="60" customHeight="1" x14ac:dyDescent="0.3">
      <c r="A42" s="22" t="s">
        <v>489</v>
      </c>
      <c r="B42" s="22" t="s">
        <v>130</v>
      </c>
      <c r="C42" s="22" t="s">
        <v>490</v>
      </c>
      <c r="D42" s="22" t="s">
        <v>493</v>
      </c>
      <c r="E42" s="22" t="s">
        <v>957</v>
      </c>
      <c r="F42" s="22" t="s">
        <v>825</v>
      </c>
      <c r="G42" s="22" t="s">
        <v>838</v>
      </c>
      <c r="H42" s="22" t="s">
        <v>839</v>
      </c>
      <c r="I42" s="22" t="s">
        <v>722</v>
      </c>
      <c r="J42" s="22" t="s">
        <v>958</v>
      </c>
      <c r="K42" s="22" t="s">
        <v>723</v>
      </c>
      <c r="L42" s="22" t="s">
        <v>780</v>
      </c>
      <c r="M42" s="22" t="s">
        <v>959</v>
      </c>
      <c r="N42" s="22" t="s">
        <v>722</v>
      </c>
      <c r="O42" s="22" t="s">
        <v>216</v>
      </c>
      <c r="P42" s="22" t="s">
        <v>842</v>
      </c>
    </row>
    <row r="43" spans="1:16" ht="60" customHeight="1" x14ac:dyDescent="0.3">
      <c r="A43" s="22" t="s">
        <v>502</v>
      </c>
      <c r="B43" s="22" t="s">
        <v>130</v>
      </c>
      <c r="C43" s="22" t="s">
        <v>503</v>
      </c>
      <c r="D43" s="22" t="s">
        <v>506</v>
      </c>
      <c r="E43" s="22" t="s">
        <v>960</v>
      </c>
      <c r="F43" s="22" t="s">
        <v>825</v>
      </c>
      <c r="G43" s="22" t="s">
        <v>838</v>
      </c>
      <c r="H43" s="22" t="s">
        <v>839</v>
      </c>
      <c r="I43" s="22" t="s">
        <v>722</v>
      </c>
      <c r="J43" s="22" t="s">
        <v>840</v>
      </c>
      <c r="K43" s="22" t="s">
        <v>723</v>
      </c>
      <c r="L43" s="22" t="s">
        <v>780</v>
      </c>
      <c r="M43" s="22" t="s">
        <v>914</v>
      </c>
      <c r="N43" s="22" t="s">
        <v>722</v>
      </c>
      <c r="O43" s="22" t="s">
        <v>216</v>
      </c>
      <c r="P43" s="22" t="s">
        <v>842</v>
      </c>
    </row>
    <row r="44" spans="1:16" ht="60" customHeight="1" x14ac:dyDescent="0.3">
      <c r="A44" s="22" t="s">
        <v>509</v>
      </c>
      <c r="B44" s="22" t="s">
        <v>130</v>
      </c>
      <c r="C44" s="22" t="s">
        <v>510</v>
      </c>
      <c r="D44" s="22" t="s">
        <v>513</v>
      </c>
      <c r="E44" s="22" t="s">
        <v>961</v>
      </c>
      <c r="F44" s="22" t="s">
        <v>786</v>
      </c>
      <c r="G44" s="22" t="s">
        <v>938</v>
      </c>
      <c r="H44" s="22" t="s">
        <v>778</v>
      </c>
      <c r="I44" s="22" t="s">
        <v>722</v>
      </c>
      <c r="J44" s="22" t="s">
        <v>962</v>
      </c>
      <c r="K44" s="22" t="s">
        <v>723</v>
      </c>
      <c r="L44" s="22" t="s">
        <v>814</v>
      </c>
      <c r="M44" s="22" t="s">
        <v>963</v>
      </c>
      <c r="N44" s="22" t="s">
        <v>741</v>
      </c>
      <c r="O44" s="22" t="s">
        <v>216</v>
      </c>
      <c r="P44" s="22"/>
    </row>
    <row r="45" spans="1:16" ht="60" customHeight="1" x14ac:dyDescent="0.3">
      <c r="A45" s="22" t="s">
        <v>516</v>
      </c>
      <c r="B45" s="22" t="s">
        <v>130</v>
      </c>
      <c r="C45" s="22" t="s">
        <v>517</v>
      </c>
      <c r="D45" s="22" t="s">
        <v>520</v>
      </c>
      <c r="E45" s="22" t="s">
        <v>964</v>
      </c>
      <c r="F45" s="22" t="s">
        <v>825</v>
      </c>
      <c r="G45" s="22" t="s">
        <v>838</v>
      </c>
      <c r="H45" s="22" t="s">
        <v>839</v>
      </c>
      <c r="I45" s="22" t="s">
        <v>722</v>
      </c>
      <c r="J45" s="22" t="s">
        <v>965</v>
      </c>
      <c r="K45" s="22" t="s">
        <v>723</v>
      </c>
      <c r="L45" s="22" t="s">
        <v>780</v>
      </c>
      <c r="M45" s="22" t="s">
        <v>966</v>
      </c>
      <c r="N45" s="22" t="s">
        <v>722</v>
      </c>
      <c r="O45" s="22" t="s">
        <v>216</v>
      </c>
      <c r="P45" s="22" t="s">
        <v>842</v>
      </c>
    </row>
    <row r="46" spans="1:16" ht="60" customHeight="1" x14ac:dyDescent="0.3">
      <c r="A46" s="22" t="s">
        <v>529</v>
      </c>
      <c r="B46" s="22" t="s">
        <v>130</v>
      </c>
      <c r="C46" s="22" t="s">
        <v>530</v>
      </c>
      <c r="D46" s="22" t="s">
        <v>533</v>
      </c>
      <c r="E46" s="22" t="s">
        <v>967</v>
      </c>
      <c r="F46" s="22" t="s">
        <v>850</v>
      </c>
      <c r="G46" s="22" t="s">
        <v>968</v>
      </c>
      <c r="H46" s="22" t="s">
        <v>839</v>
      </c>
      <c r="I46" s="22" t="s">
        <v>722</v>
      </c>
      <c r="J46" s="22" t="s">
        <v>969</v>
      </c>
      <c r="K46" s="22" t="s">
        <v>723</v>
      </c>
      <c r="L46" s="22" t="s">
        <v>780</v>
      </c>
      <c r="M46" s="22" t="s">
        <v>970</v>
      </c>
      <c r="N46" s="22" t="s">
        <v>722</v>
      </c>
      <c r="O46" s="22" t="s">
        <v>216</v>
      </c>
      <c r="P46" s="22" t="s">
        <v>842</v>
      </c>
    </row>
    <row r="47" spans="1:16" ht="60" customHeight="1" x14ac:dyDescent="0.3">
      <c r="A47" s="22" t="s">
        <v>554</v>
      </c>
      <c r="B47" s="22" t="s">
        <v>124</v>
      </c>
      <c r="C47" s="22" t="s">
        <v>555</v>
      </c>
      <c r="D47" s="22" t="s">
        <v>971</v>
      </c>
      <c r="E47" s="22" t="s">
        <v>972</v>
      </c>
      <c r="F47" s="22" t="s">
        <v>973</v>
      </c>
      <c r="G47" s="22" t="s">
        <v>974</v>
      </c>
      <c r="H47" s="22" t="s">
        <v>1</v>
      </c>
      <c r="I47" s="22" t="s">
        <v>722</v>
      </c>
      <c r="J47" s="22" t="s">
        <v>975</v>
      </c>
      <c r="K47" s="22" t="s">
        <v>723</v>
      </c>
      <c r="L47" s="22" t="s">
        <v>780</v>
      </c>
      <c r="M47" s="22" t="s">
        <v>976</v>
      </c>
      <c r="N47" s="22" t="s">
        <v>722</v>
      </c>
      <c r="O47" s="22" t="s">
        <v>563</v>
      </c>
      <c r="P47" s="22" t="s">
        <v>977</v>
      </c>
    </row>
    <row r="48" spans="1:16" ht="60" customHeight="1" x14ac:dyDescent="0.3">
      <c r="A48" s="22" t="s">
        <v>564</v>
      </c>
      <c r="B48" s="22" t="s">
        <v>124</v>
      </c>
      <c r="C48" s="22" t="s">
        <v>565</v>
      </c>
      <c r="D48" s="22" t="s">
        <v>568</v>
      </c>
      <c r="E48" s="22" t="s">
        <v>978</v>
      </c>
      <c r="F48" s="22" t="s">
        <v>973</v>
      </c>
      <c r="G48" s="22" t="s">
        <v>974</v>
      </c>
      <c r="H48" s="22" t="s">
        <v>788</v>
      </c>
      <c r="I48" s="22" t="s">
        <v>722</v>
      </c>
      <c r="J48" s="22" t="s">
        <v>979</v>
      </c>
      <c r="K48" s="22" t="s">
        <v>723</v>
      </c>
      <c r="L48" s="22" t="s">
        <v>799</v>
      </c>
      <c r="M48" s="22" t="s">
        <v>980</v>
      </c>
      <c r="N48" s="22" t="s">
        <v>741</v>
      </c>
      <c r="O48" s="22" t="s">
        <v>563</v>
      </c>
      <c r="P48" s="22"/>
    </row>
    <row r="49" spans="1:16" ht="60" customHeight="1" x14ac:dyDescent="0.3">
      <c r="A49" s="22" t="s">
        <v>572</v>
      </c>
      <c r="B49" s="22" t="s">
        <v>124</v>
      </c>
      <c r="C49" s="22" t="s">
        <v>573</v>
      </c>
      <c r="D49" s="22" t="s">
        <v>577</v>
      </c>
      <c r="E49" s="22" t="s">
        <v>981</v>
      </c>
      <c r="F49" s="22" t="s">
        <v>973</v>
      </c>
      <c r="G49" s="22" t="s">
        <v>974</v>
      </c>
      <c r="H49" s="22" t="s">
        <v>788</v>
      </c>
      <c r="I49" s="22" t="s">
        <v>722</v>
      </c>
      <c r="J49" s="22" t="s">
        <v>982</v>
      </c>
      <c r="K49" s="22" t="s">
        <v>723</v>
      </c>
      <c r="L49" s="22" t="s">
        <v>780</v>
      </c>
      <c r="M49" s="22" t="s">
        <v>983</v>
      </c>
      <c r="N49" s="22" t="s">
        <v>722</v>
      </c>
      <c r="O49" s="22" t="s">
        <v>563</v>
      </c>
      <c r="P49" s="22" t="s">
        <v>977</v>
      </c>
    </row>
    <row r="50" spans="1:16" ht="60" customHeight="1" x14ac:dyDescent="0.3">
      <c r="A50" s="22" t="s">
        <v>590</v>
      </c>
      <c r="B50" s="22" t="s">
        <v>124</v>
      </c>
      <c r="C50" s="22" t="s">
        <v>591</v>
      </c>
      <c r="D50" s="22" t="s">
        <v>594</v>
      </c>
      <c r="E50" s="22" t="s">
        <v>984</v>
      </c>
      <c r="F50" s="22" t="s">
        <v>973</v>
      </c>
      <c r="G50" s="22" t="s">
        <v>974</v>
      </c>
      <c r="H50" s="22" t="s">
        <v>788</v>
      </c>
      <c r="I50" s="22" t="s">
        <v>722</v>
      </c>
      <c r="J50" s="22" t="s">
        <v>985</v>
      </c>
      <c r="K50" s="22" t="s">
        <v>723</v>
      </c>
      <c r="L50" s="22" t="s">
        <v>780</v>
      </c>
      <c r="M50" s="22" t="s">
        <v>986</v>
      </c>
      <c r="N50" s="22" t="s">
        <v>722</v>
      </c>
      <c r="O50" s="22" t="s">
        <v>563</v>
      </c>
      <c r="P50" s="22" t="s">
        <v>977</v>
      </c>
    </row>
    <row r="51" spans="1:16" ht="60" customHeight="1" x14ac:dyDescent="0.3">
      <c r="A51" s="22" t="s">
        <v>598</v>
      </c>
      <c r="B51" s="22" t="s">
        <v>124</v>
      </c>
      <c r="C51" s="22" t="s">
        <v>599</v>
      </c>
      <c r="D51" s="22" t="s">
        <v>987</v>
      </c>
      <c r="E51" s="22" t="s">
        <v>988</v>
      </c>
      <c r="F51" s="22" t="s">
        <v>973</v>
      </c>
      <c r="G51" s="22" t="s">
        <v>974</v>
      </c>
      <c r="H51" s="22" t="s">
        <v>788</v>
      </c>
      <c r="I51" s="22" t="s">
        <v>722</v>
      </c>
      <c r="J51" s="22" t="s">
        <v>985</v>
      </c>
      <c r="K51" s="22" t="s">
        <v>723</v>
      </c>
      <c r="L51" s="22" t="s">
        <v>780</v>
      </c>
      <c r="M51" s="22" t="s">
        <v>989</v>
      </c>
      <c r="N51" s="22" t="s">
        <v>722</v>
      </c>
      <c r="O51" s="22" t="s">
        <v>563</v>
      </c>
      <c r="P51" s="22" t="s">
        <v>977</v>
      </c>
    </row>
    <row r="52" spans="1:16" ht="60" customHeight="1" x14ac:dyDescent="0.3">
      <c r="A52" s="22" t="s">
        <v>606</v>
      </c>
      <c r="B52" s="22" t="s">
        <v>124</v>
      </c>
      <c r="C52" s="22" t="s">
        <v>607</v>
      </c>
      <c r="D52" s="22" t="s">
        <v>610</v>
      </c>
      <c r="E52" s="22" t="s">
        <v>990</v>
      </c>
      <c r="F52" s="22" t="s">
        <v>973</v>
      </c>
      <c r="G52" s="22" t="s">
        <v>974</v>
      </c>
      <c r="H52" s="22" t="s">
        <v>788</v>
      </c>
      <c r="I52" s="22" t="s">
        <v>722</v>
      </c>
      <c r="J52" s="22" t="s">
        <v>982</v>
      </c>
      <c r="K52" s="22" t="s">
        <v>723</v>
      </c>
      <c r="L52" s="22" t="s">
        <v>780</v>
      </c>
      <c r="M52" s="22" t="s">
        <v>991</v>
      </c>
      <c r="N52" s="22" t="s">
        <v>722</v>
      </c>
      <c r="O52" s="22" t="s">
        <v>563</v>
      </c>
      <c r="P52" s="22" t="s">
        <v>977</v>
      </c>
    </row>
    <row r="53" spans="1:16" ht="60" customHeight="1" x14ac:dyDescent="0.3">
      <c r="A53" s="22" t="s">
        <v>614</v>
      </c>
      <c r="B53" s="22" t="s">
        <v>124</v>
      </c>
      <c r="C53" s="22" t="s">
        <v>615</v>
      </c>
      <c r="D53" s="22" t="s">
        <v>618</v>
      </c>
      <c r="E53" s="22" t="s">
        <v>992</v>
      </c>
      <c r="F53" s="22" t="s">
        <v>973</v>
      </c>
      <c r="G53" s="22" t="s">
        <v>974</v>
      </c>
      <c r="H53" s="22" t="s">
        <v>1</v>
      </c>
      <c r="I53" s="22" t="s">
        <v>722</v>
      </c>
      <c r="J53" s="22" t="s">
        <v>993</v>
      </c>
      <c r="K53" s="22" t="s">
        <v>723</v>
      </c>
      <c r="L53" s="22" t="s">
        <v>780</v>
      </c>
      <c r="M53" s="22" t="s">
        <v>994</v>
      </c>
      <c r="N53" s="22" t="s">
        <v>722</v>
      </c>
      <c r="O53" s="22" t="s">
        <v>563</v>
      </c>
      <c r="P53" s="22" t="s">
        <v>995</v>
      </c>
    </row>
    <row r="54" spans="1:16" ht="60" customHeight="1" x14ac:dyDescent="0.3">
      <c r="A54" s="22" t="s">
        <v>622</v>
      </c>
      <c r="B54" s="22" t="s">
        <v>124</v>
      </c>
      <c r="C54" s="22" t="s">
        <v>623</v>
      </c>
      <c r="D54" s="22" t="s">
        <v>996</v>
      </c>
      <c r="E54" s="22" t="s">
        <v>997</v>
      </c>
      <c r="F54" s="22" t="s">
        <v>973</v>
      </c>
      <c r="G54" s="22" t="s">
        <v>998</v>
      </c>
      <c r="H54" s="22" t="s">
        <v>1</v>
      </c>
      <c r="I54" s="22" t="s">
        <v>722</v>
      </c>
      <c r="J54" s="22" t="s">
        <v>999</v>
      </c>
      <c r="K54" s="22" t="s">
        <v>723</v>
      </c>
      <c r="L54" s="22" t="s">
        <v>814</v>
      </c>
      <c r="M54" s="22" t="s">
        <v>1000</v>
      </c>
      <c r="N54" s="22" t="s">
        <v>741</v>
      </c>
      <c r="O54" s="22" t="s">
        <v>563</v>
      </c>
      <c r="P54" s="22"/>
    </row>
    <row r="55" spans="1:16" ht="60" customHeight="1" x14ac:dyDescent="0.3">
      <c r="A55" s="22" t="s">
        <v>631</v>
      </c>
      <c r="B55" s="22" t="s">
        <v>124</v>
      </c>
      <c r="C55" s="22" t="s">
        <v>632</v>
      </c>
      <c r="D55" s="22" t="s">
        <v>1001</v>
      </c>
      <c r="E55" s="22" t="s">
        <v>1002</v>
      </c>
      <c r="F55" s="22" t="s">
        <v>973</v>
      </c>
      <c r="G55" s="22" t="s">
        <v>1003</v>
      </c>
      <c r="H55" s="22" t="s">
        <v>1</v>
      </c>
      <c r="I55" s="22" t="s">
        <v>722</v>
      </c>
      <c r="J55" s="22" t="s">
        <v>1004</v>
      </c>
      <c r="K55" s="22" t="s">
        <v>723</v>
      </c>
      <c r="L55" s="22" t="s">
        <v>799</v>
      </c>
      <c r="M55" s="22" t="s">
        <v>1005</v>
      </c>
      <c r="N55" s="22" t="s">
        <v>741</v>
      </c>
      <c r="O55" s="22" t="s">
        <v>563</v>
      </c>
      <c r="P55" s="22"/>
    </row>
    <row r="56" spans="1:16" ht="60" customHeight="1" x14ac:dyDescent="0.3">
      <c r="A56" s="22" t="s">
        <v>640</v>
      </c>
      <c r="B56" s="22" t="s">
        <v>124</v>
      </c>
      <c r="C56" s="22" t="s">
        <v>641</v>
      </c>
      <c r="D56" s="22" t="s">
        <v>644</v>
      </c>
      <c r="E56" s="22" t="s">
        <v>1006</v>
      </c>
      <c r="F56" s="22" t="s">
        <v>973</v>
      </c>
      <c r="G56" s="22" t="s">
        <v>1007</v>
      </c>
      <c r="H56" s="22" t="s">
        <v>1</v>
      </c>
      <c r="I56" s="22" t="s">
        <v>722</v>
      </c>
      <c r="J56" s="22" t="s">
        <v>1008</v>
      </c>
      <c r="K56" s="22" t="s">
        <v>723</v>
      </c>
      <c r="L56" s="22" t="s">
        <v>799</v>
      </c>
      <c r="M56" s="22" t="s">
        <v>1009</v>
      </c>
      <c r="N56" s="22" t="s">
        <v>741</v>
      </c>
      <c r="O56" s="22" t="s">
        <v>563</v>
      </c>
      <c r="P56" s="22"/>
    </row>
    <row r="57" spans="1:16" ht="60" customHeight="1" x14ac:dyDescent="0.3">
      <c r="A57" s="22" t="s">
        <v>648</v>
      </c>
      <c r="B57" s="22" t="s">
        <v>124</v>
      </c>
      <c r="C57" s="22" t="s">
        <v>649</v>
      </c>
      <c r="D57" s="22" t="s">
        <v>1010</v>
      </c>
      <c r="E57" s="22" t="s">
        <v>1011</v>
      </c>
      <c r="F57" s="22" t="s">
        <v>973</v>
      </c>
      <c r="G57" s="22" t="s">
        <v>974</v>
      </c>
      <c r="H57" s="22" t="s">
        <v>788</v>
      </c>
      <c r="I57" s="22" t="s">
        <v>722</v>
      </c>
      <c r="J57" s="22" t="s">
        <v>1012</v>
      </c>
      <c r="K57" s="22" t="s">
        <v>723</v>
      </c>
      <c r="L57" s="22" t="s">
        <v>814</v>
      </c>
      <c r="M57" s="22" t="s">
        <v>1013</v>
      </c>
      <c r="N57" s="22" t="s">
        <v>741</v>
      </c>
      <c r="O57" s="22" t="s">
        <v>563</v>
      </c>
      <c r="P57" s="22"/>
    </row>
    <row r="58" spans="1:16" ht="60" customHeight="1" x14ac:dyDescent="0.3">
      <c r="A58" s="22" t="s">
        <v>655</v>
      </c>
      <c r="B58" s="22" t="s">
        <v>134</v>
      </c>
      <c r="C58" s="22" t="s">
        <v>656</v>
      </c>
      <c r="D58" s="22" t="s">
        <v>356</v>
      </c>
      <c r="E58" s="22" t="s">
        <v>1014</v>
      </c>
      <c r="F58" s="22" t="s">
        <v>973</v>
      </c>
      <c r="G58" s="22" t="s">
        <v>1015</v>
      </c>
      <c r="H58" s="22" t="s">
        <v>1</v>
      </c>
      <c r="I58" s="22" t="s">
        <v>722</v>
      </c>
      <c r="J58" s="22" t="s">
        <v>1016</v>
      </c>
      <c r="K58" s="22" t="s">
        <v>723</v>
      </c>
      <c r="L58" s="22" t="s">
        <v>799</v>
      </c>
      <c r="M58" s="22" t="s">
        <v>1017</v>
      </c>
      <c r="N58" s="22" t="s">
        <v>741</v>
      </c>
      <c r="O58" s="22" t="s">
        <v>563</v>
      </c>
      <c r="P58" s="22"/>
    </row>
    <row r="59" spans="1:16" ht="33.6" customHeight="1" x14ac:dyDescent="0.3"/>
    <row r="60" spans="1:16" ht="33.6" customHeight="1" x14ac:dyDescent="0.3"/>
    <row r="61" spans="1:16" ht="33.6" customHeight="1" x14ac:dyDescent="0.3"/>
    <row r="62" spans="1:16" ht="33.6" customHeight="1" x14ac:dyDescent="0.3"/>
    <row r="63" spans="1:16" ht="33.6" customHeight="1" x14ac:dyDescent="0.3"/>
    <row r="64" spans="1:16" ht="33.6" customHeight="1" x14ac:dyDescent="0.3"/>
    <row r="65" ht="33.6" customHeight="1" x14ac:dyDescent="0.3"/>
    <row r="66" ht="33.6" customHeight="1" x14ac:dyDescent="0.3"/>
    <row r="67" ht="33.6" customHeight="1" x14ac:dyDescent="0.3"/>
    <row r="68" ht="33.6" customHeight="1" x14ac:dyDescent="0.3"/>
    <row r="69" ht="33.6" customHeight="1" x14ac:dyDescent="0.3"/>
    <row r="70" ht="33.6" customHeight="1" x14ac:dyDescent="0.3"/>
    <row r="71" ht="33.6" customHeight="1" x14ac:dyDescent="0.3"/>
    <row r="72" ht="33.6" customHeight="1" x14ac:dyDescent="0.3"/>
    <row r="73" ht="33.6" customHeight="1" x14ac:dyDescent="0.3"/>
    <row r="74" ht="33.6" customHeight="1" x14ac:dyDescent="0.3"/>
    <row r="75" ht="33.6" customHeight="1" x14ac:dyDescent="0.3"/>
    <row r="76" ht="33.6" customHeight="1" x14ac:dyDescent="0.3"/>
    <row r="77" ht="33.6" customHeight="1" x14ac:dyDescent="0.3"/>
    <row r="78" ht="33.6" customHeight="1" x14ac:dyDescent="0.3"/>
    <row r="79" ht="33.6" customHeight="1" x14ac:dyDescent="0.3"/>
    <row r="80"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sheetData>
  <autoFilter ref="A3:P58" xr:uid="{00000000-0009-0000-0000-000005000000}"/>
  <mergeCells count="2">
    <mergeCell ref="A1:O1"/>
    <mergeCell ref="A2:O2"/>
  </mergeCells>
  <conditionalFormatting sqref="N4:N500">
    <cfRule type="cellIs" dxfId="4" priority="1" operator="equal">
      <formula>"Sí"</formula>
    </cfRule>
  </conditionalFormatting>
  <dataValidations count="8">
    <dataValidation type="list" allowBlank="1" sqref="K4:K500" xr:uid="{00000000-0002-0000-0500-000000000000}">
      <formula1>"Primario,Revisión,Otro"</formula1>
    </dataValidation>
    <dataValidation type="list" allowBlank="1" sqref="L4:L500" xr:uid="{00000000-0002-0000-0500-000001000000}">
      <formula1>"Alto,Medio,Bajo"</formula1>
    </dataValidation>
    <dataValidation type="list" allowBlank="1" sqref="N4:N500" xr:uid="{00000000-0002-0000-0500-000002000000}">
      <formula1>"Sí,No"</formula1>
    </dataValidation>
    <dataValidation type="list" allowBlank="1" sqref="F4:F500" xr:uid="{00000000-0002-0000-0500-000003000000}">
      <formula1>"1. Phytophthora,2. Lasiodiplodia,3. Botryosphaeriaceae,4. Colletotrichum,5. Fusarium,6. Nectria,Varios,Otro/No aplica"</formula1>
    </dataValidation>
    <dataValidation type="list" allowBlank="1" sqref="I4:I500" xr:uid="{00000000-0002-0000-0500-000004000000}">
      <formula1>"Sí, explícita,Sí, parcial,No"</formula1>
    </dataValidation>
    <dataValidation type="list" allowBlank="1" sqref="H4:H500" xr:uid="{00000000-0002-0000-0500-000005000000}">
      <formula1>"Tallo/tronco,Rama,Raíz,Fruto,Pedúnculo,Hoja,Planta completa,Varios,No reportado"</formula1>
    </dataValidation>
    <dataValidation type="list" allowBlank="1" sqref="O4:O500" xr:uid="{00000000-0002-0000-0500-000006000000}">
      <formula1>"Fitopatológico,Tecnológico"</formula1>
    </dataValidation>
    <dataValidation type="list" allowBlank="1" sqref="P4:P500" xr:uid="{00000000-0002-0000-0500-000007000000}">
      <formula1>"CE-F1 Solo fruto,CE-F1 Solo raíz,CI-F3 Sin información del tallo,CE-F2 Revisión,CE-T1 No usa IA,CE-T2 No aborda enfermedades,CE-T3 Revisión"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5"/>
  <sheetViews>
    <sheetView zoomScale="67" workbookViewId="0">
      <pane xSplit="3" ySplit="3" topLeftCell="D10" activePane="bottomRight" state="frozen"/>
      <selection pane="topRight"/>
      <selection pane="bottomLeft"/>
      <selection pane="bottomRight" activeCell="L15" sqref="L15"/>
    </sheetView>
  </sheetViews>
  <sheetFormatPr baseColWidth="10" defaultColWidth="8.88671875" defaultRowHeight="14.4" x14ac:dyDescent="0.3"/>
  <cols>
    <col min="1" max="1" width="8" customWidth="1"/>
    <col min="2" max="2" width="13" customWidth="1"/>
    <col min="3" max="3" width="50" customWidth="1"/>
    <col min="4" max="4" width="14" customWidth="1"/>
    <col min="5" max="5" width="10" customWidth="1"/>
    <col min="6" max="6" width="34" customWidth="1"/>
    <col min="7" max="7" width="10" customWidth="1"/>
    <col min="8" max="8" width="26" customWidth="1"/>
    <col min="9" max="9" width="55" customWidth="1"/>
    <col min="11" max="11" width="46" customWidth="1"/>
    <col min="12" max="12" width="12" customWidth="1"/>
  </cols>
  <sheetData>
    <row r="1" spans="1:12" ht="17.399999999999999" customHeight="1" x14ac:dyDescent="0.3">
      <c r="A1" s="25" t="s">
        <v>20</v>
      </c>
    </row>
    <row r="2" spans="1:12" x14ac:dyDescent="0.3">
      <c r="A2" s="55" t="s">
        <v>1018</v>
      </c>
    </row>
    <row r="3" spans="1:12" ht="36" customHeight="1" x14ac:dyDescent="0.3">
      <c r="A3" s="24" t="s">
        <v>193</v>
      </c>
      <c r="B3" s="24" t="s">
        <v>115</v>
      </c>
      <c r="C3" s="24" t="s">
        <v>194</v>
      </c>
      <c r="D3" s="24" t="s">
        <v>204</v>
      </c>
      <c r="E3" s="24" t="s">
        <v>1019</v>
      </c>
      <c r="F3" s="24" t="s">
        <v>1020</v>
      </c>
      <c r="G3" s="24" t="s">
        <v>718</v>
      </c>
      <c r="H3" s="24" t="s">
        <v>715</v>
      </c>
      <c r="I3" s="24" t="s">
        <v>1021</v>
      </c>
      <c r="K3" s="69" t="s">
        <v>1022</v>
      </c>
      <c r="L3" s="70"/>
    </row>
    <row r="4" spans="1:12" ht="60" customHeight="1" x14ac:dyDescent="0.3">
      <c r="A4" s="22" t="s">
        <v>226</v>
      </c>
      <c r="B4" s="22" t="s">
        <v>124</v>
      </c>
      <c r="C4" s="22" t="s">
        <v>227</v>
      </c>
      <c r="D4" s="22" t="s">
        <v>216</v>
      </c>
      <c r="E4" s="22" t="s">
        <v>741</v>
      </c>
      <c r="F4" s="22" t="s">
        <v>1023</v>
      </c>
      <c r="G4" s="22" t="s">
        <v>1024</v>
      </c>
      <c r="H4" s="22"/>
      <c r="I4" s="22" t="s">
        <v>1025</v>
      </c>
      <c r="K4" s="71" t="s">
        <v>1026</v>
      </c>
      <c r="L4" s="72">
        <f>COUNTA($A$4:$A$25)</f>
        <v>22</v>
      </c>
    </row>
    <row r="5" spans="1:12" ht="60" customHeight="1" x14ac:dyDescent="0.3">
      <c r="A5" s="22" t="s">
        <v>251</v>
      </c>
      <c r="B5" s="22" t="s">
        <v>124</v>
      </c>
      <c r="C5" s="22" t="s">
        <v>252</v>
      </c>
      <c r="D5" s="22" t="s">
        <v>216</v>
      </c>
      <c r="E5" s="22" t="s">
        <v>741</v>
      </c>
      <c r="F5" s="22" t="s">
        <v>1027</v>
      </c>
      <c r="G5" s="22" t="s">
        <v>1024</v>
      </c>
      <c r="H5" s="22"/>
      <c r="I5" s="22" t="s">
        <v>1028</v>
      </c>
      <c r="K5" s="71" t="s">
        <v>1029</v>
      </c>
      <c r="L5" s="72">
        <f>COUNTIF($E$4:$E$25,"No")</f>
        <v>0</v>
      </c>
    </row>
    <row r="6" spans="1:12" ht="60" customHeight="1" x14ac:dyDescent="0.3">
      <c r="A6" s="22" t="s">
        <v>276</v>
      </c>
      <c r="B6" s="22" t="s">
        <v>124</v>
      </c>
      <c r="C6" s="22" t="s">
        <v>277</v>
      </c>
      <c r="D6" s="22" t="s">
        <v>216</v>
      </c>
      <c r="E6" s="22" t="s">
        <v>741</v>
      </c>
      <c r="F6" s="22" t="s">
        <v>1030</v>
      </c>
      <c r="G6" s="22" t="s">
        <v>1024</v>
      </c>
      <c r="H6" s="22"/>
      <c r="I6" s="22" t="s">
        <v>1031</v>
      </c>
      <c r="K6" s="71" t="s">
        <v>1032</v>
      </c>
      <c r="L6" s="72">
        <f>COUNTIF($E$4:$E$25,"Sí")</f>
        <v>22</v>
      </c>
    </row>
    <row r="7" spans="1:12" ht="60" customHeight="1" x14ac:dyDescent="0.3">
      <c r="A7" s="22" t="s">
        <v>313</v>
      </c>
      <c r="B7" s="22" t="s">
        <v>124</v>
      </c>
      <c r="C7" s="22" t="s">
        <v>314</v>
      </c>
      <c r="D7" s="22" t="s">
        <v>216</v>
      </c>
      <c r="E7" s="22" t="s">
        <v>741</v>
      </c>
      <c r="F7" s="22" t="s">
        <v>1033</v>
      </c>
      <c r="G7" s="22" t="s">
        <v>1024</v>
      </c>
      <c r="H7" s="22"/>
      <c r="I7" s="22" t="s">
        <v>1034</v>
      </c>
      <c r="K7" s="73" t="s">
        <v>1035</v>
      </c>
      <c r="L7" s="74">
        <f>COUNTIF($G$4:$G$25,"Excluir")</f>
        <v>4</v>
      </c>
    </row>
    <row r="8" spans="1:12" ht="60" customHeight="1" x14ac:dyDescent="0.3">
      <c r="A8" s="22" t="s">
        <v>321</v>
      </c>
      <c r="B8" s="22" t="s">
        <v>124</v>
      </c>
      <c r="C8" s="22" t="s">
        <v>322</v>
      </c>
      <c r="D8" s="22" t="s">
        <v>216</v>
      </c>
      <c r="E8" s="22" t="s">
        <v>741</v>
      </c>
      <c r="F8" s="22" t="s">
        <v>1036</v>
      </c>
      <c r="G8" s="22" t="s">
        <v>1024</v>
      </c>
      <c r="H8" s="22"/>
      <c r="I8" s="22" t="s">
        <v>1037</v>
      </c>
      <c r="K8" s="71" t="s">
        <v>1038</v>
      </c>
      <c r="L8" s="72">
        <f>COUNTIFS($G$4:$G$25,"Excluir",$H$4:$H$25,"Solo raíz")</f>
        <v>1</v>
      </c>
    </row>
    <row r="9" spans="1:12" ht="60" customHeight="1" x14ac:dyDescent="0.3">
      <c r="A9" s="22" t="s">
        <v>329</v>
      </c>
      <c r="B9" s="22" t="s">
        <v>124</v>
      </c>
      <c r="C9" s="22" t="s">
        <v>330</v>
      </c>
      <c r="D9" s="22" t="s">
        <v>216</v>
      </c>
      <c r="E9" s="22" t="s">
        <v>741</v>
      </c>
      <c r="F9" s="22" t="s">
        <v>1039</v>
      </c>
      <c r="G9" s="22" t="s">
        <v>1024</v>
      </c>
      <c r="H9" s="22"/>
      <c r="I9" s="22" t="s">
        <v>1040</v>
      </c>
      <c r="K9" s="71" t="s">
        <v>1041</v>
      </c>
      <c r="L9" s="72">
        <f>COUNTIFS($G$4:$G$25,"Excluir",$H$4:$H$25,"Solo fruto")</f>
        <v>1</v>
      </c>
    </row>
    <row r="10" spans="1:12" ht="60" customHeight="1" x14ac:dyDescent="0.3">
      <c r="A10" s="22" t="s">
        <v>336</v>
      </c>
      <c r="B10" s="22" t="s">
        <v>124</v>
      </c>
      <c r="C10" s="22" t="s">
        <v>337</v>
      </c>
      <c r="D10" s="22" t="s">
        <v>216</v>
      </c>
      <c r="E10" s="22" t="s">
        <v>741</v>
      </c>
      <c r="F10" s="22" t="s">
        <v>1042</v>
      </c>
      <c r="G10" s="22" t="s">
        <v>1024</v>
      </c>
      <c r="H10" s="22"/>
      <c r="I10" s="22" t="s">
        <v>1043</v>
      </c>
      <c r="K10" s="71" t="s">
        <v>1044</v>
      </c>
      <c r="L10" s="72">
        <f>COUNTIFS($G$4:$G$25,"Excluir",$H$4:$H$25,"Sin información de síntomas en tallo")</f>
        <v>1</v>
      </c>
    </row>
    <row r="11" spans="1:12" ht="60" customHeight="1" x14ac:dyDescent="0.3">
      <c r="A11" s="22" t="s">
        <v>345</v>
      </c>
      <c r="B11" s="22" t="s">
        <v>124</v>
      </c>
      <c r="C11" s="22" t="s">
        <v>346</v>
      </c>
      <c r="D11" s="22" t="s">
        <v>216</v>
      </c>
      <c r="E11" s="22" t="s">
        <v>741</v>
      </c>
      <c r="F11" s="22" t="s">
        <v>1045</v>
      </c>
      <c r="G11" s="22" t="s">
        <v>1024</v>
      </c>
      <c r="H11" s="22"/>
      <c r="I11" s="22" t="s">
        <v>1046</v>
      </c>
      <c r="K11" s="71" t="s">
        <v>1047</v>
      </c>
      <c r="L11" s="72">
        <f>COUNTIFS($G$4:$G$25,"Excluir",$H$4:$H$25,"No aborda el diagnóstico de enfermedades")</f>
        <v>1</v>
      </c>
    </row>
    <row r="12" spans="1:12" ht="60" customHeight="1" x14ac:dyDescent="0.3">
      <c r="A12" s="22" t="s">
        <v>373</v>
      </c>
      <c r="B12" s="22" t="s">
        <v>124</v>
      </c>
      <c r="C12" s="22" t="s">
        <v>374</v>
      </c>
      <c r="D12" s="22" t="s">
        <v>216</v>
      </c>
      <c r="E12" s="22" t="s">
        <v>741</v>
      </c>
      <c r="F12" s="22" t="s">
        <v>1048</v>
      </c>
      <c r="G12" s="22" t="s">
        <v>1024</v>
      </c>
      <c r="H12" s="22"/>
      <c r="I12" s="22" t="s">
        <v>1049</v>
      </c>
      <c r="K12" s="73" t="s">
        <v>1050</v>
      </c>
      <c r="L12" s="74">
        <f>COUNTIF($G$4:$G$25,"Incluir")</f>
        <v>18</v>
      </c>
    </row>
    <row r="13" spans="1:12" ht="60" customHeight="1" x14ac:dyDescent="0.3">
      <c r="A13" s="22" t="s">
        <v>386</v>
      </c>
      <c r="B13" s="22" t="s">
        <v>124</v>
      </c>
      <c r="C13" s="22" t="s">
        <v>387</v>
      </c>
      <c r="D13" s="22" t="s">
        <v>216</v>
      </c>
      <c r="E13" s="22" t="s">
        <v>741</v>
      </c>
      <c r="F13" s="22" t="s">
        <v>1051</v>
      </c>
      <c r="G13" s="22" t="s">
        <v>1024</v>
      </c>
      <c r="H13" s="22"/>
      <c r="I13" s="22" t="s">
        <v>1052</v>
      </c>
      <c r="K13" s="71" t="s">
        <v>1053</v>
      </c>
      <c r="L13" s="72">
        <f>COUNTIFS($G$4:$G$25,"Incluir",$D$4:$D$25,"Fitopatológico")</f>
        <v>13</v>
      </c>
    </row>
    <row r="14" spans="1:12" ht="60" customHeight="1" x14ac:dyDescent="0.3">
      <c r="A14" s="22" t="s">
        <v>392</v>
      </c>
      <c r="B14" s="22" t="s">
        <v>124</v>
      </c>
      <c r="C14" s="22" t="s">
        <v>393</v>
      </c>
      <c r="D14" s="22" t="s">
        <v>216</v>
      </c>
      <c r="E14" s="22" t="s">
        <v>741</v>
      </c>
      <c r="F14" s="22" t="s">
        <v>1054</v>
      </c>
      <c r="G14" s="22" t="s">
        <v>1024</v>
      </c>
      <c r="H14" s="22"/>
      <c r="I14" s="22" t="s">
        <v>1055</v>
      </c>
      <c r="K14" s="71" t="s">
        <v>1056</v>
      </c>
      <c r="L14" s="72">
        <f>COUNTIFS($G$4:$G$25,"Incluir",$D$4:$D$25,"Tecnológico")</f>
        <v>5</v>
      </c>
    </row>
    <row r="15" spans="1:12" ht="60" customHeight="1" x14ac:dyDescent="0.3">
      <c r="A15" s="22" t="s">
        <v>420</v>
      </c>
      <c r="B15" s="22" t="s">
        <v>124</v>
      </c>
      <c r="C15" s="22" t="s">
        <v>421</v>
      </c>
      <c r="D15" s="22" t="s">
        <v>216</v>
      </c>
      <c r="E15" s="22" t="s">
        <v>741</v>
      </c>
      <c r="F15" s="22" t="s">
        <v>1057</v>
      </c>
      <c r="G15" s="22" t="s">
        <v>742</v>
      </c>
      <c r="H15" s="22" t="s">
        <v>1058</v>
      </c>
      <c r="I15" s="22" t="s">
        <v>1059</v>
      </c>
      <c r="K15" s="71" t="s">
        <v>1060</v>
      </c>
      <c r="L15" s="99" t="str">
        <f>IF(L6-L7=L12,"Correcto","Revisar")</f>
        <v>Correcto</v>
      </c>
    </row>
    <row r="16" spans="1:12" ht="60" customHeight="1" x14ac:dyDescent="0.3">
      <c r="A16" s="22" t="s">
        <v>434</v>
      </c>
      <c r="B16" s="22" t="s">
        <v>124</v>
      </c>
      <c r="C16" s="22" t="s">
        <v>435</v>
      </c>
      <c r="D16" s="22" t="s">
        <v>216</v>
      </c>
      <c r="E16" s="22" t="s">
        <v>741</v>
      </c>
      <c r="F16" s="22" t="s">
        <v>1061</v>
      </c>
      <c r="G16" s="22" t="s">
        <v>1024</v>
      </c>
      <c r="H16" s="22"/>
      <c r="I16" s="22" t="s">
        <v>1062</v>
      </c>
    </row>
    <row r="17" spans="1:9" ht="60" customHeight="1" x14ac:dyDescent="0.3">
      <c r="A17" s="22" t="s">
        <v>463</v>
      </c>
      <c r="B17" s="22" t="s">
        <v>124</v>
      </c>
      <c r="C17" s="22" t="s">
        <v>464</v>
      </c>
      <c r="D17" s="22" t="s">
        <v>216</v>
      </c>
      <c r="E17" s="22" t="s">
        <v>741</v>
      </c>
      <c r="F17" s="22" t="s">
        <v>1063</v>
      </c>
      <c r="G17" s="22" t="s">
        <v>742</v>
      </c>
      <c r="H17" s="22" t="s">
        <v>1064</v>
      </c>
      <c r="I17" s="22" t="s">
        <v>1065</v>
      </c>
    </row>
    <row r="18" spans="1:9" ht="60" customHeight="1" x14ac:dyDescent="0.3">
      <c r="A18" s="22" t="s">
        <v>483</v>
      </c>
      <c r="B18" s="22" t="s">
        <v>124</v>
      </c>
      <c r="C18" s="22" t="s">
        <v>484</v>
      </c>
      <c r="D18" s="22" t="s">
        <v>216</v>
      </c>
      <c r="E18" s="22" t="s">
        <v>741</v>
      </c>
      <c r="F18" s="22" t="s">
        <v>1066</v>
      </c>
      <c r="G18" s="22" t="s">
        <v>1024</v>
      </c>
      <c r="H18" s="22"/>
      <c r="I18" s="22" t="s">
        <v>1067</v>
      </c>
    </row>
    <row r="19" spans="1:9" ht="60" customHeight="1" x14ac:dyDescent="0.3">
      <c r="A19" s="22" t="s">
        <v>509</v>
      </c>
      <c r="B19" s="22" t="s">
        <v>130</v>
      </c>
      <c r="C19" s="22" t="s">
        <v>510</v>
      </c>
      <c r="D19" s="22" t="s">
        <v>216</v>
      </c>
      <c r="E19" s="22" t="s">
        <v>741</v>
      </c>
      <c r="F19" s="22" t="s">
        <v>1068</v>
      </c>
      <c r="G19" s="22" t="s">
        <v>742</v>
      </c>
      <c r="H19" s="22" t="s">
        <v>1069</v>
      </c>
      <c r="I19" s="22" t="s">
        <v>1070</v>
      </c>
    </row>
    <row r="20" spans="1:9" ht="60" customHeight="1" x14ac:dyDescent="0.3">
      <c r="A20" s="22" t="s">
        <v>564</v>
      </c>
      <c r="B20" s="22" t="s">
        <v>124</v>
      </c>
      <c r="C20" s="22" t="s">
        <v>565</v>
      </c>
      <c r="D20" s="22" t="s">
        <v>563</v>
      </c>
      <c r="E20" s="22" t="s">
        <v>741</v>
      </c>
      <c r="F20" s="22" t="s">
        <v>1071</v>
      </c>
      <c r="G20" s="22" t="s">
        <v>1024</v>
      </c>
      <c r="H20" s="22"/>
      <c r="I20" s="22" t="s">
        <v>1072</v>
      </c>
    </row>
    <row r="21" spans="1:9" ht="60" customHeight="1" x14ac:dyDescent="0.3">
      <c r="A21" s="22" t="s">
        <v>622</v>
      </c>
      <c r="B21" s="22" t="s">
        <v>124</v>
      </c>
      <c r="C21" s="22" t="s">
        <v>623</v>
      </c>
      <c r="D21" s="22" t="s">
        <v>563</v>
      </c>
      <c r="E21" s="22" t="s">
        <v>741</v>
      </c>
      <c r="F21" s="22" t="s">
        <v>1073</v>
      </c>
      <c r="G21" s="22" t="s">
        <v>1024</v>
      </c>
      <c r="H21" s="22"/>
      <c r="I21" s="22" t="s">
        <v>1074</v>
      </c>
    </row>
    <row r="22" spans="1:9" ht="60" customHeight="1" x14ac:dyDescent="0.3">
      <c r="A22" s="22" t="s">
        <v>631</v>
      </c>
      <c r="B22" s="22" t="s">
        <v>124</v>
      </c>
      <c r="C22" s="22" t="s">
        <v>632</v>
      </c>
      <c r="D22" s="22" t="s">
        <v>563</v>
      </c>
      <c r="E22" s="22" t="s">
        <v>741</v>
      </c>
      <c r="F22" s="22" t="s">
        <v>1075</v>
      </c>
      <c r="G22" s="22" t="s">
        <v>1024</v>
      </c>
      <c r="H22" s="22"/>
      <c r="I22" s="22" t="s">
        <v>1076</v>
      </c>
    </row>
    <row r="23" spans="1:9" ht="60" customHeight="1" x14ac:dyDescent="0.3">
      <c r="A23" s="22" t="s">
        <v>640</v>
      </c>
      <c r="B23" s="22" t="s">
        <v>124</v>
      </c>
      <c r="C23" s="22" t="s">
        <v>641</v>
      </c>
      <c r="D23" s="22" t="s">
        <v>563</v>
      </c>
      <c r="E23" s="22" t="s">
        <v>741</v>
      </c>
      <c r="F23" s="22" t="s">
        <v>1077</v>
      </c>
      <c r="G23" s="22" t="s">
        <v>1024</v>
      </c>
      <c r="H23" s="22"/>
      <c r="I23" s="22" t="s">
        <v>1078</v>
      </c>
    </row>
    <row r="24" spans="1:9" ht="60" customHeight="1" x14ac:dyDescent="0.3">
      <c r="A24" s="22" t="s">
        <v>648</v>
      </c>
      <c r="B24" s="22" t="s">
        <v>124</v>
      </c>
      <c r="C24" s="22" t="s">
        <v>649</v>
      </c>
      <c r="D24" s="22" t="s">
        <v>563</v>
      </c>
      <c r="E24" s="22" t="s">
        <v>741</v>
      </c>
      <c r="F24" s="22" t="s">
        <v>1079</v>
      </c>
      <c r="G24" s="22" t="s">
        <v>742</v>
      </c>
      <c r="H24" s="22" t="s">
        <v>1080</v>
      </c>
      <c r="I24" s="22" t="s">
        <v>1081</v>
      </c>
    </row>
    <row r="25" spans="1:9" ht="60" customHeight="1" x14ac:dyDescent="0.3">
      <c r="A25" s="22" t="s">
        <v>655</v>
      </c>
      <c r="B25" s="22" t="s">
        <v>134</v>
      </c>
      <c r="C25" s="22" t="s">
        <v>656</v>
      </c>
      <c r="D25" s="22" t="s">
        <v>563</v>
      </c>
      <c r="E25" s="22" t="s">
        <v>741</v>
      </c>
      <c r="F25" s="22" t="s">
        <v>1082</v>
      </c>
      <c r="G25" s="22" t="s">
        <v>1024</v>
      </c>
      <c r="H25" s="22"/>
      <c r="I25" s="22" t="s">
        <v>1083</v>
      </c>
    </row>
  </sheetData>
  <conditionalFormatting sqref="G4:G300">
    <cfRule type="cellIs" dxfId="3" priority="1" operator="equal">
      <formula>"Excluir"</formula>
    </cfRule>
  </conditionalFormatting>
  <dataValidations count="3">
    <dataValidation type="list" allowBlank="1" sqref="E4:E300" xr:uid="{00000000-0002-0000-0600-000000000000}">
      <formula1>"Sí,No"</formula1>
    </dataValidation>
    <dataValidation type="list" allowBlank="1" sqref="G4:G300" xr:uid="{00000000-0002-0000-0600-000001000000}">
      <formula1>"Incluir,Excluir"</formula1>
    </dataValidation>
    <dataValidation type="list" allowBlank="1" sqref="H4:H300" xr:uid="{00000000-0002-0000-0600-000002000000}">
      <formula1>"Solo fruto,Solo raíz,Sin información de síntomas en tallo,No aborda el diagnóstico de enfermedades,No usa IA,Revisión"</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03"/>
  <sheetViews>
    <sheetView topLeftCell="E1" zoomScale="56" workbookViewId="0">
      <selection activeCell="U14" sqref="U14"/>
    </sheetView>
  </sheetViews>
  <sheetFormatPr baseColWidth="10" defaultColWidth="8.88671875" defaultRowHeight="14.4" x14ac:dyDescent="0.3"/>
  <cols>
    <col min="1" max="1" width="8" customWidth="1"/>
    <col min="2" max="2" width="16" customWidth="1"/>
    <col min="3" max="3" width="60" customWidth="1"/>
    <col min="4" max="13" width="8" customWidth="1"/>
    <col min="14" max="14" width="13" customWidth="1"/>
    <col min="15" max="15" width="16" customWidth="1"/>
    <col min="16" max="16" width="60" customWidth="1"/>
    <col min="17" max="17" width="14" customWidth="1"/>
    <col min="19" max="19" width="44" customWidth="1"/>
    <col min="20" max="20" width="70" customWidth="1"/>
    <col min="21" max="21" width="15.5546875" customWidth="1"/>
  </cols>
  <sheetData>
    <row r="1" spans="1:21" ht="17.55" customHeight="1" x14ac:dyDescent="0.3">
      <c r="A1" s="102" t="s">
        <v>22</v>
      </c>
      <c r="B1" s="103"/>
      <c r="C1" s="103"/>
      <c r="D1" s="103"/>
      <c r="E1" s="103"/>
      <c r="F1" s="103"/>
      <c r="G1" s="103"/>
      <c r="H1" s="103"/>
      <c r="I1" s="103"/>
      <c r="J1" s="103"/>
      <c r="K1" s="103"/>
      <c r="L1" s="103"/>
      <c r="M1" s="103"/>
      <c r="N1" s="103"/>
      <c r="O1" s="103"/>
      <c r="P1" s="103"/>
    </row>
    <row r="2" spans="1:21" ht="28.8" customHeight="1" x14ac:dyDescent="0.3">
      <c r="A2" s="104" t="s">
        <v>1084</v>
      </c>
      <c r="B2" s="103"/>
      <c r="C2" s="103"/>
      <c r="D2" s="103"/>
      <c r="E2" s="103"/>
      <c r="F2" s="103"/>
      <c r="G2" s="103"/>
      <c r="H2" s="103"/>
      <c r="I2" s="103"/>
      <c r="J2" s="103"/>
      <c r="K2" s="103"/>
      <c r="L2" s="103"/>
      <c r="M2" s="103"/>
      <c r="N2" s="103"/>
      <c r="O2" s="103"/>
      <c r="P2" s="103"/>
    </row>
    <row r="3" spans="1:21" x14ac:dyDescent="0.3">
      <c r="A3" s="80" t="s">
        <v>193</v>
      </c>
      <c r="B3" s="80" t="s">
        <v>115</v>
      </c>
      <c r="C3" s="80" t="s">
        <v>194</v>
      </c>
      <c r="D3" s="80" t="s">
        <v>1085</v>
      </c>
      <c r="E3" s="80" t="s">
        <v>1086</v>
      </c>
      <c r="F3" s="80" t="s">
        <v>1087</v>
      </c>
      <c r="G3" s="80" t="s">
        <v>1088</v>
      </c>
      <c r="H3" s="80" t="s">
        <v>1089</v>
      </c>
      <c r="I3" s="80" t="s">
        <v>1090</v>
      </c>
      <c r="J3" s="80" t="s">
        <v>1091</v>
      </c>
      <c r="K3" s="80" t="s">
        <v>1092</v>
      </c>
      <c r="L3" s="80" t="s">
        <v>1093</v>
      </c>
      <c r="M3" s="80" t="s">
        <v>1094</v>
      </c>
      <c r="N3" s="80" t="s">
        <v>1095</v>
      </c>
      <c r="O3" s="80" t="s">
        <v>1096</v>
      </c>
      <c r="P3" s="80" t="s">
        <v>1097</v>
      </c>
      <c r="Q3" s="80" t="s">
        <v>204</v>
      </c>
      <c r="S3" s="75" t="s">
        <v>1098</v>
      </c>
      <c r="T3" s="118"/>
      <c r="U3" s="109"/>
    </row>
    <row r="4" spans="1:21" ht="75" customHeight="1" x14ac:dyDescent="0.3">
      <c r="A4" s="81" t="s">
        <v>226</v>
      </c>
      <c r="B4" s="81" t="s">
        <v>124</v>
      </c>
      <c r="C4" s="81" t="s">
        <v>227</v>
      </c>
      <c r="D4" s="82">
        <v>2</v>
      </c>
      <c r="E4" s="82">
        <v>2</v>
      </c>
      <c r="F4" s="82">
        <v>2</v>
      </c>
      <c r="G4" s="82">
        <v>2</v>
      </c>
      <c r="H4" s="82">
        <v>2</v>
      </c>
      <c r="I4" s="82">
        <v>2</v>
      </c>
      <c r="J4" s="82">
        <v>2</v>
      </c>
      <c r="K4" s="82">
        <v>2</v>
      </c>
      <c r="L4" s="82">
        <v>2</v>
      </c>
      <c r="M4" s="82">
        <v>2</v>
      </c>
      <c r="N4" s="82">
        <f t="shared" ref="N4:N67" si="0">IF(COUNT(D4:M4)=0,"",SUM(D4:M4))</f>
        <v>20</v>
      </c>
      <c r="O4" s="82" t="str">
        <f t="shared" ref="O4:O67" si="1">IF(N4="","",IF(N4&gt;=16,"Alta calidad",IF(N4&gt;=11,"Media calidad","Baja calidad")))</f>
        <v>Alta calidad</v>
      </c>
      <c r="P4" s="81" t="s">
        <v>1099</v>
      </c>
      <c r="Q4" s="81" t="s">
        <v>216</v>
      </c>
      <c r="S4" s="107" t="s">
        <v>1100</v>
      </c>
      <c r="T4" s="109"/>
      <c r="U4" s="78">
        <f>COUNTA($A$4:$A$21)</f>
        <v>18</v>
      </c>
    </row>
    <row r="5" spans="1:21" ht="75" customHeight="1" x14ac:dyDescent="0.3">
      <c r="A5" s="81" t="s">
        <v>251</v>
      </c>
      <c r="B5" s="81" t="s">
        <v>124</v>
      </c>
      <c r="C5" s="81" t="s">
        <v>252</v>
      </c>
      <c r="D5" s="82">
        <v>2</v>
      </c>
      <c r="E5" s="82">
        <v>2</v>
      </c>
      <c r="F5" s="82">
        <v>1</v>
      </c>
      <c r="G5" s="82">
        <v>2</v>
      </c>
      <c r="H5" s="82">
        <v>2</v>
      </c>
      <c r="I5" s="82">
        <v>2</v>
      </c>
      <c r="J5" s="82">
        <v>0</v>
      </c>
      <c r="K5" s="82">
        <v>2</v>
      </c>
      <c r="L5" s="82">
        <v>2</v>
      </c>
      <c r="M5" s="82">
        <v>2</v>
      </c>
      <c r="N5" s="82">
        <f t="shared" si="0"/>
        <v>17</v>
      </c>
      <c r="O5" s="82" t="str">
        <f t="shared" si="1"/>
        <v>Alta calidad</v>
      </c>
      <c r="P5" s="81" t="s">
        <v>1101</v>
      </c>
      <c r="Q5" s="81" t="s">
        <v>216</v>
      </c>
      <c r="S5" s="107" t="s">
        <v>1102</v>
      </c>
      <c r="T5" s="109"/>
      <c r="U5" s="78">
        <f>COUNTIF($O$4:$O$21,"Alta calidad")</f>
        <v>17</v>
      </c>
    </row>
    <row r="6" spans="1:21" ht="75" customHeight="1" x14ac:dyDescent="0.3">
      <c r="A6" s="81" t="s">
        <v>276</v>
      </c>
      <c r="B6" s="81" t="s">
        <v>124</v>
      </c>
      <c r="C6" s="81" t="s">
        <v>277</v>
      </c>
      <c r="D6" s="82">
        <v>2</v>
      </c>
      <c r="E6" s="82">
        <v>1</v>
      </c>
      <c r="F6" s="82">
        <v>1</v>
      </c>
      <c r="G6" s="82">
        <v>2</v>
      </c>
      <c r="H6" s="82">
        <v>2</v>
      </c>
      <c r="I6" s="82">
        <v>2</v>
      </c>
      <c r="J6" s="82">
        <v>2</v>
      </c>
      <c r="K6" s="82">
        <v>2</v>
      </c>
      <c r="L6" s="82">
        <v>1</v>
      </c>
      <c r="M6" s="82">
        <v>2</v>
      </c>
      <c r="N6" s="82">
        <f t="shared" si="0"/>
        <v>17</v>
      </c>
      <c r="O6" s="82" t="str">
        <f t="shared" si="1"/>
        <v>Alta calidad</v>
      </c>
      <c r="P6" s="81" t="s">
        <v>1103</v>
      </c>
      <c r="Q6" s="81" t="s">
        <v>216</v>
      </c>
      <c r="S6" s="107" t="s">
        <v>1104</v>
      </c>
      <c r="T6" s="109"/>
      <c r="U6" s="78">
        <f>COUNTIF($O$4:$O$21,"Media calidad")</f>
        <v>1</v>
      </c>
    </row>
    <row r="7" spans="1:21" ht="75" customHeight="1" x14ac:dyDescent="0.3">
      <c r="A7" s="81" t="s">
        <v>313</v>
      </c>
      <c r="B7" s="81" t="s">
        <v>124</v>
      </c>
      <c r="C7" s="81" t="s">
        <v>314</v>
      </c>
      <c r="D7" s="82">
        <v>2</v>
      </c>
      <c r="E7" s="82">
        <v>2</v>
      </c>
      <c r="F7" s="82">
        <v>1</v>
      </c>
      <c r="G7" s="82">
        <v>2</v>
      </c>
      <c r="H7" s="82">
        <v>2</v>
      </c>
      <c r="I7" s="82">
        <v>2</v>
      </c>
      <c r="J7" s="82">
        <v>1</v>
      </c>
      <c r="K7" s="82">
        <v>2</v>
      </c>
      <c r="L7" s="82">
        <v>2</v>
      </c>
      <c r="M7" s="82">
        <v>2</v>
      </c>
      <c r="N7" s="82">
        <f t="shared" si="0"/>
        <v>18</v>
      </c>
      <c r="O7" s="82" t="str">
        <f t="shared" si="1"/>
        <v>Alta calidad</v>
      </c>
      <c r="P7" s="81" t="s">
        <v>1105</v>
      </c>
      <c r="Q7" s="81" t="s">
        <v>216</v>
      </c>
      <c r="S7" s="107" t="s">
        <v>1106</v>
      </c>
      <c r="T7" s="109"/>
      <c r="U7" s="78">
        <f>COUNTIF($O$4:$O$21,"Baja calidad")</f>
        <v>0</v>
      </c>
    </row>
    <row r="8" spans="1:21" ht="75" customHeight="1" x14ac:dyDescent="0.3">
      <c r="A8" s="81" t="s">
        <v>321</v>
      </c>
      <c r="B8" s="81" t="s">
        <v>124</v>
      </c>
      <c r="C8" s="81" t="s">
        <v>322</v>
      </c>
      <c r="D8" s="82">
        <v>2</v>
      </c>
      <c r="E8" s="82">
        <v>2</v>
      </c>
      <c r="F8" s="82">
        <v>2</v>
      </c>
      <c r="G8" s="82">
        <v>2</v>
      </c>
      <c r="H8" s="82">
        <v>2</v>
      </c>
      <c r="I8" s="82">
        <v>2</v>
      </c>
      <c r="J8" s="82">
        <v>2</v>
      </c>
      <c r="K8" s="82">
        <v>2</v>
      </c>
      <c r="L8" s="82">
        <v>2</v>
      </c>
      <c r="M8" s="82">
        <v>2</v>
      </c>
      <c r="N8" s="82">
        <f t="shared" si="0"/>
        <v>20</v>
      </c>
      <c r="O8" s="82" t="str">
        <f t="shared" si="1"/>
        <v>Alta calidad</v>
      </c>
      <c r="P8" s="81" t="s">
        <v>1107</v>
      </c>
      <c r="Q8" s="81" t="s">
        <v>216</v>
      </c>
      <c r="S8" s="107" t="s">
        <v>1108</v>
      </c>
      <c r="T8" s="109"/>
      <c r="U8" s="78">
        <f>COUNTIF($Q$4:$Q$21,"Fitopatológico")</f>
        <v>13</v>
      </c>
    </row>
    <row r="9" spans="1:21" ht="75" customHeight="1" x14ac:dyDescent="0.3">
      <c r="A9" s="81" t="s">
        <v>329</v>
      </c>
      <c r="B9" s="81" t="s">
        <v>124</v>
      </c>
      <c r="C9" s="81" t="s">
        <v>330</v>
      </c>
      <c r="D9" s="82">
        <v>2</v>
      </c>
      <c r="E9" s="82">
        <v>2</v>
      </c>
      <c r="F9" s="82">
        <v>2</v>
      </c>
      <c r="G9" s="82">
        <v>2</v>
      </c>
      <c r="H9" s="82">
        <v>2</v>
      </c>
      <c r="I9" s="82">
        <v>2</v>
      </c>
      <c r="J9" s="82">
        <v>2</v>
      </c>
      <c r="K9" s="82">
        <v>2</v>
      </c>
      <c r="L9" s="82">
        <v>2</v>
      </c>
      <c r="M9" s="82">
        <v>2</v>
      </c>
      <c r="N9" s="82">
        <f t="shared" si="0"/>
        <v>20</v>
      </c>
      <c r="O9" s="82" t="str">
        <f t="shared" si="1"/>
        <v>Alta calidad</v>
      </c>
      <c r="P9" s="81" t="s">
        <v>1109</v>
      </c>
      <c r="Q9" s="81" t="s">
        <v>216</v>
      </c>
      <c r="S9" s="107" t="s">
        <v>1110</v>
      </c>
      <c r="T9" s="109"/>
      <c r="U9" s="78">
        <f>COUNTIFS($Q$4:$Q$21,"Fitopatológico",$O$4:$O$21,"Alta calidad")</f>
        <v>12</v>
      </c>
    </row>
    <row r="10" spans="1:21" ht="75" customHeight="1" x14ac:dyDescent="0.3">
      <c r="A10" s="81" t="s">
        <v>336</v>
      </c>
      <c r="B10" s="81" t="s">
        <v>124</v>
      </c>
      <c r="C10" s="81" t="s">
        <v>337</v>
      </c>
      <c r="D10" s="82">
        <v>2</v>
      </c>
      <c r="E10" s="82">
        <v>2</v>
      </c>
      <c r="F10" s="82">
        <v>0</v>
      </c>
      <c r="G10" s="82">
        <v>2</v>
      </c>
      <c r="H10" s="82">
        <v>1</v>
      </c>
      <c r="I10" s="82">
        <v>1</v>
      </c>
      <c r="J10" s="82">
        <v>1</v>
      </c>
      <c r="K10" s="82">
        <v>2</v>
      </c>
      <c r="L10" s="82">
        <v>2</v>
      </c>
      <c r="M10" s="82">
        <v>2</v>
      </c>
      <c r="N10" s="82">
        <f t="shared" si="0"/>
        <v>15</v>
      </c>
      <c r="O10" s="82" t="str">
        <f t="shared" si="1"/>
        <v>Media calidad</v>
      </c>
      <c r="P10" s="81" t="s">
        <v>1111</v>
      </c>
      <c r="Q10" s="81" t="s">
        <v>216</v>
      </c>
      <c r="S10" s="107" t="s">
        <v>1112</v>
      </c>
      <c r="T10" s="109"/>
      <c r="U10" s="77">
        <f>AVERAGEIF($Q$4:$Q$21,"Fitopatológico",$N$4:$N$21)</f>
        <v>18.615384615384617</v>
      </c>
    </row>
    <row r="11" spans="1:21" ht="75" customHeight="1" x14ac:dyDescent="0.3">
      <c r="A11" s="81" t="s">
        <v>345</v>
      </c>
      <c r="B11" s="81" t="s">
        <v>124</v>
      </c>
      <c r="C11" s="81" t="s">
        <v>346</v>
      </c>
      <c r="D11" s="82">
        <v>2</v>
      </c>
      <c r="E11" s="82">
        <v>2</v>
      </c>
      <c r="F11" s="82">
        <v>2</v>
      </c>
      <c r="G11" s="82">
        <v>2</v>
      </c>
      <c r="H11" s="82">
        <v>2</v>
      </c>
      <c r="I11" s="82">
        <v>2</v>
      </c>
      <c r="J11" s="82">
        <v>2</v>
      </c>
      <c r="K11" s="82">
        <v>2</v>
      </c>
      <c r="L11" s="82">
        <v>2</v>
      </c>
      <c r="M11" s="82">
        <v>2</v>
      </c>
      <c r="N11" s="82">
        <f t="shared" si="0"/>
        <v>20</v>
      </c>
      <c r="O11" s="82" t="str">
        <f t="shared" si="1"/>
        <v>Alta calidad</v>
      </c>
      <c r="P11" s="81" t="s">
        <v>1113</v>
      </c>
      <c r="Q11" s="81" t="s">
        <v>216</v>
      </c>
      <c r="S11" s="107" t="s">
        <v>1114</v>
      </c>
      <c r="T11" s="109"/>
      <c r="U11" s="78">
        <f>COUNTIF($Q$4:$Q$21,"Tecnológico")</f>
        <v>5</v>
      </c>
    </row>
    <row r="12" spans="1:21" ht="75" customHeight="1" x14ac:dyDescent="0.3">
      <c r="A12" s="81" t="s">
        <v>373</v>
      </c>
      <c r="B12" s="81" t="s">
        <v>124</v>
      </c>
      <c r="C12" s="81" t="s">
        <v>374</v>
      </c>
      <c r="D12" s="82">
        <v>2</v>
      </c>
      <c r="E12" s="82">
        <v>2</v>
      </c>
      <c r="F12" s="82">
        <v>2</v>
      </c>
      <c r="G12" s="82">
        <v>2</v>
      </c>
      <c r="H12" s="82">
        <v>2</v>
      </c>
      <c r="I12" s="82">
        <v>2</v>
      </c>
      <c r="J12" s="82">
        <v>2</v>
      </c>
      <c r="K12" s="82">
        <v>2</v>
      </c>
      <c r="L12" s="82">
        <v>2</v>
      </c>
      <c r="M12" s="82">
        <v>2</v>
      </c>
      <c r="N12" s="82">
        <f t="shared" si="0"/>
        <v>20</v>
      </c>
      <c r="O12" s="82" t="str">
        <f t="shared" si="1"/>
        <v>Alta calidad</v>
      </c>
      <c r="P12" s="81" t="s">
        <v>1115</v>
      </c>
      <c r="Q12" s="81" t="s">
        <v>216</v>
      </c>
      <c r="S12" s="107" t="s">
        <v>1110</v>
      </c>
      <c r="T12" s="109"/>
      <c r="U12" s="78">
        <f>COUNTIFS($Q$4:$Q$21,"Tecnológico",$O$4:$O$21,"Alta calidad")</f>
        <v>5</v>
      </c>
    </row>
    <row r="13" spans="1:21" ht="75" customHeight="1" x14ac:dyDescent="0.3">
      <c r="A13" s="81" t="s">
        <v>386</v>
      </c>
      <c r="B13" s="81" t="s">
        <v>124</v>
      </c>
      <c r="C13" s="81" t="s">
        <v>387</v>
      </c>
      <c r="D13" s="82">
        <v>2</v>
      </c>
      <c r="E13" s="82">
        <v>2</v>
      </c>
      <c r="F13" s="82">
        <v>1</v>
      </c>
      <c r="G13" s="82">
        <v>2</v>
      </c>
      <c r="H13" s="82">
        <v>2</v>
      </c>
      <c r="I13" s="82">
        <v>2</v>
      </c>
      <c r="J13" s="82">
        <v>2</v>
      </c>
      <c r="K13" s="82">
        <v>2</v>
      </c>
      <c r="L13" s="82">
        <v>2</v>
      </c>
      <c r="M13" s="82">
        <v>2</v>
      </c>
      <c r="N13" s="82">
        <f t="shared" si="0"/>
        <v>19</v>
      </c>
      <c r="O13" s="82" t="str">
        <f t="shared" si="1"/>
        <v>Alta calidad</v>
      </c>
      <c r="P13" s="81" t="s">
        <v>1116</v>
      </c>
      <c r="Q13" s="81" t="s">
        <v>216</v>
      </c>
      <c r="S13" s="107" t="s">
        <v>1112</v>
      </c>
      <c r="T13" s="109"/>
      <c r="U13" s="77">
        <f>AVERAGEIF($Q$4:$Q$21,"Tecnológico",$N$4:$N$21)</f>
        <v>16.8</v>
      </c>
    </row>
    <row r="14" spans="1:21" ht="75" customHeight="1" x14ac:dyDescent="0.3">
      <c r="A14" s="81" t="s">
        <v>392</v>
      </c>
      <c r="B14" s="81" t="s">
        <v>124</v>
      </c>
      <c r="C14" s="81" t="s">
        <v>393</v>
      </c>
      <c r="D14" s="82">
        <v>2</v>
      </c>
      <c r="E14" s="82">
        <v>2</v>
      </c>
      <c r="F14" s="82">
        <v>2</v>
      </c>
      <c r="G14" s="82">
        <v>2</v>
      </c>
      <c r="H14" s="82">
        <v>2</v>
      </c>
      <c r="I14" s="82">
        <v>2</v>
      </c>
      <c r="J14" s="82">
        <v>1</v>
      </c>
      <c r="K14" s="82">
        <v>2</v>
      </c>
      <c r="L14" s="82">
        <v>2</v>
      </c>
      <c r="M14" s="82">
        <v>2</v>
      </c>
      <c r="N14" s="82">
        <f t="shared" si="0"/>
        <v>19</v>
      </c>
      <c r="O14" s="82" t="str">
        <f t="shared" si="1"/>
        <v>Alta calidad</v>
      </c>
      <c r="P14" s="81" t="s">
        <v>1117</v>
      </c>
      <c r="Q14" s="81" t="s">
        <v>216</v>
      </c>
      <c r="S14" s="107" t="s">
        <v>1118</v>
      </c>
      <c r="T14" s="109"/>
      <c r="U14" s="77" t="s">
        <v>1119</v>
      </c>
    </row>
    <row r="15" spans="1:21" ht="75" customHeight="1" x14ac:dyDescent="0.3">
      <c r="A15" s="81" t="s">
        <v>434</v>
      </c>
      <c r="B15" s="81" t="s">
        <v>124</v>
      </c>
      <c r="C15" s="81" t="s">
        <v>435</v>
      </c>
      <c r="D15" s="82">
        <v>2</v>
      </c>
      <c r="E15" s="82">
        <v>1</v>
      </c>
      <c r="F15" s="82">
        <v>1</v>
      </c>
      <c r="G15" s="82">
        <v>2</v>
      </c>
      <c r="H15" s="82">
        <v>2</v>
      </c>
      <c r="I15" s="82">
        <v>2</v>
      </c>
      <c r="J15" s="82">
        <v>1</v>
      </c>
      <c r="K15" s="82">
        <v>2</v>
      </c>
      <c r="L15" s="82">
        <v>2</v>
      </c>
      <c r="M15" s="82">
        <v>2</v>
      </c>
      <c r="N15" s="82">
        <f t="shared" si="0"/>
        <v>17</v>
      </c>
      <c r="O15" s="82" t="str">
        <f t="shared" si="1"/>
        <v>Alta calidad</v>
      </c>
      <c r="P15" s="81" t="s">
        <v>1120</v>
      </c>
      <c r="Q15" s="81" t="s">
        <v>216</v>
      </c>
    </row>
    <row r="16" spans="1:21" ht="75" customHeight="1" x14ac:dyDescent="0.3">
      <c r="A16" s="81" t="s">
        <v>483</v>
      </c>
      <c r="B16" s="81" t="s">
        <v>124</v>
      </c>
      <c r="C16" s="81" t="s">
        <v>484</v>
      </c>
      <c r="D16" s="82">
        <v>2</v>
      </c>
      <c r="E16" s="82">
        <v>2</v>
      </c>
      <c r="F16" s="82">
        <v>2</v>
      </c>
      <c r="G16" s="82">
        <v>2</v>
      </c>
      <c r="H16" s="82">
        <v>2</v>
      </c>
      <c r="I16" s="82">
        <v>2</v>
      </c>
      <c r="J16" s="82">
        <v>2</v>
      </c>
      <c r="K16" s="82">
        <v>2</v>
      </c>
      <c r="L16" s="82">
        <v>2</v>
      </c>
      <c r="M16" s="82">
        <v>2</v>
      </c>
      <c r="N16" s="82">
        <f t="shared" si="0"/>
        <v>20</v>
      </c>
      <c r="O16" s="82" t="str">
        <f t="shared" si="1"/>
        <v>Alta calidad</v>
      </c>
      <c r="P16" s="81" t="s">
        <v>1121</v>
      </c>
      <c r="Q16" s="81" t="s">
        <v>216</v>
      </c>
    </row>
    <row r="17" spans="1:21" ht="75" customHeight="1" x14ac:dyDescent="0.3">
      <c r="A17" s="81" t="s">
        <v>564</v>
      </c>
      <c r="B17" s="81" t="s">
        <v>124</v>
      </c>
      <c r="C17" s="81" t="s">
        <v>565</v>
      </c>
      <c r="D17" s="82">
        <v>2</v>
      </c>
      <c r="E17" s="82">
        <v>2</v>
      </c>
      <c r="F17" s="82">
        <v>2</v>
      </c>
      <c r="G17" s="82">
        <v>2</v>
      </c>
      <c r="H17" s="82">
        <v>1</v>
      </c>
      <c r="I17" s="82">
        <v>2</v>
      </c>
      <c r="J17" s="82">
        <v>1</v>
      </c>
      <c r="K17" s="82">
        <v>1</v>
      </c>
      <c r="L17" s="82">
        <v>1</v>
      </c>
      <c r="M17" s="82">
        <v>2</v>
      </c>
      <c r="N17" s="82">
        <f t="shared" si="0"/>
        <v>16</v>
      </c>
      <c r="O17" s="82" t="str">
        <f t="shared" si="1"/>
        <v>Alta calidad</v>
      </c>
      <c r="P17" s="81" t="s">
        <v>1122</v>
      </c>
      <c r="Q17" s="81" t="s">
        <v>563</v>
      </c>
      <c r="S17" s="120" t="s">
        <v>1123</v>
      </c>
      <c r="T17" s="108"/>
      <c r="U17" s="109"/>
    </row>
    <row r="18" spans="1:21" ht="75" customHeight="1" x14ac:dyDescent="0.3">
      <c r="A18" s="81" t="s">
        <v>622</v>
      </c>
      <c r="B18" s="81" t="s">
        <v>124</v>
      </c>
      <c r="C18" s="81" t="s">
        <v>623</v>
      </c>
      <c r="D18" s="82">
        <v>2</v>
      </c>
      <c r="E18" s="82">
        <v>2</v>
      </c>
      <c r="F18" s="82">
        <v>2</v>
      </c>
      <c r="G18" s="82">
        <v>2</v>
      </c>
      <c r="H18" s="82">
        <v>2</v>
      </c>
      <c r="I18" s="82">
        <v>2</v>
      </c>
      <c r="J18" s="82">
        <v>1</v>
      </c>
      <c r="K18" s="82">
        <v>0</v>
      </c>
      <c r="L18" s="82">
        <v>2</v>
      </c>
      <c r="M18" s="82">
        <v>2</v>
      </c>
      <c r="N18" s="82">
        <f t="shared" si="0"/>
        <v>17</v>
      </c>
      <c r="O18" s="82" t="str">
        <f t="shared" si="1"/>
        <v>Alta calidad</v>
      </c>
      <c r="P18" s="81" t="s">
        <v>1124</v>
      </c>
      <c r="Q18" s="81" t="s">
        <v>563</v>
      </c>
      <c r="S18" s="119" t="s">
        <v>1125</v>
      </c>
      <c r="T18" s="108"/>
      <c r="U18" s="109"/>
    </row>
    <row r="19" spans="1:21" ht="75" customHeight="1" x14ac:dyDescent="0.3">
      <c r="A19" s="81" t="s">
        <v>631</v>
      </c>
      <c r="B19" s="81" t="s">
        <v>124</v>
      </c>
      <c r="C19" s="81" t="s">
        <v>632</v>
      </c>
      <c r="D19" s="82">
        <v>2</v>
      </c>
      <c r="E19" s="82">
        <v>2</v>
      </c>
      <c r="F19" s="82">
        <v>1</v>
      </c>
      <c r="G19" s="82">
        <v>2</v>
      </c>
      <c r="H19" s="82">
        <v>2</v>
      </c>
      <c r="I19" s="82">
        <v>1</v>
      </c>
      <c r="J19" s="82">
        <v>2</v>
      </c>
      <c r="K19" s="82">
        <v>1</v>
      </c>
      <c r="L19" s="82">
        <v>1</v>
      </c>
      <c r="M19" s="82">
        <v>2</v>
      </c>
      <c r="N19" s="82">
        <f t="shared" si="0"/>
        <v>16</v>
      </c>
      <c r="O19" s="82" t="str">
        <f t="shared" si="1"/>
        <v>Alta calidad</v>
      </c>
      <c r="P19" s="81" t="s">
        <v>1126</v>
      </c>
      <c r="Q19" s="81" t="s">
        <v>563</v>
      </c>
      <c r="S19" s="76" t="s">
        <v>1127</v>
      </c>
      <c r="T19" s="107" t="s">
        <v>1128</v>
      </c>
      <c r="U19" s="109"/>
    </row>
    <row r="20" spans="1:21" ht="75" customHeight="1" x14ac:dyDescent="0.3">
      <c r="A20" s="81" t="s">
        <v>640</v>
      </c>
      <c r="B20" s="81" t="s">
        <v>124</v>
      </c>
      <c r="C20" s="81" t="s">
        <v>641</v>
      </c>
      <c r="D20" s="82">
        <v>2</v>
      </c>
      <c r="E20" s="82">
        <v>2</v>
      </c>
      <c r="F20" s="82">
        <v>2</v>
      </c>
      <c r="G20" s="82">
        <v>2</v>
      </c>
      <c r="H20" s="82">
        <v>1</v>
      </c>
      <c r="I20" s="82">
        <v>1</v>
      </c>
      <c r="J20" s="82">
        <v>2</v>
      </c>
      <c r="K20" s="82">
        <v>2</v>
      </c>
      <c r="L20" s="82">
        <v>1</v>
      </c>
      <c r="M20" s="82">
        <v>2</v>
      </c>
      <c r="N20" s="82">
        <f t="shared" si="0"/>
        <v>17</v>
      </c>
      <c r="O20" s="82" t="str">
        <f t="shared" si="1"/>
        <v>Alta calidad</v>
      </c>
      <c r="P20" s="81" t="s">
        <v>1129</v>
      </c>
      <c r="Q20" s="81" t="s">
        <v>563</v>
      </c>
      <c r="S20" s="76" t="s">
        <v>1130</v>
      </c>
      <c r="T20" s="107" t="s">
        <v>1131</v>
      </c>
      <c r="U20" s="109"/>
    </row>
    <row r="21" spans="1:21" ht="75" customHeight="1" x14ac:dyDescent="0.3">
      <c r="A21" s="79" t="s">
        <v>655</v>
      </c>
      <c r="B21" s="79" t="s">
        <v>134</v>
      </c>
      <c r="C21" s="79" t="s">
        <v>656</v>
      </c>
      <c r="D21" s="83">
        <v>2</v>
      </c>
      <c r="E21" s="83">
        <v>2</v>
      </c>
      <c r="F21" s="83">
        <v>2</v>
      </c>
      <c r="G21" s="83">
        <v>2</v>
      </c>
      <c r="H21" s="83">
        <v>2</v>
      </c>
      <c r="I21" s="83">
        <v>2</v>
      </c>
      <c r="J21" s="83">
        <v>2</v>
      </c>
      <c r="K21" s="83">
        <v>1</v>
      </c>
      <c r="L21" s="83">
        <v>1</v>
      </c>
      <c r="M21" s="83">
        <v>2</v>
      </c>
      <c r="N21" s="83">
        <f t="shared" si="0"/>
        <v>18</v>
      </c>
      <c r="O21" s="83" t="str">
        <f t="shared" si="1"/>
        <v>Alta calidad</v>
      </c>
      <c r="P21" s="79" t="s">
        <v>1132</v>
      </c>
      <c r="Q21" s="79" t="s">
        <v>563</v>
      </c>
      <c r="S21" s="76" t="s">
        <v>1133</v>
      </c>
      <c r="T21" s="107" t="s">
        <v>1134</v>
      </c>
      <c r="U21" s="109"/>
    </row>
    <row r="22" spans="1:21" ht="30" customHeight="1" x14ac:dyDescent="0.3">
      <c r="N22" t="str">
        <f t="shared" si="0"/>
        <v/>
      </c>
      <c r="O22" t="str">
        <f t="shared" si="1"/>
        <v/>
      </c>
      <c r="S22" s="76" t="s">
        <v>1135</v>
      </c>
      <c r="T22" s="107" t="s">
        <v>1136</v>
      </c>
      <c r="U22" s="109"/>
    </row>
    <row r="23" spans="1:21" ht="30" customHeight="1" x14ac:dyDescent="0.3">
      <c r="N23" t="str">
        <f t="shared" si="0"/>
        <v/>
      </c>
      <c r="O23" t="str">
        <f t="shared" si="1"/>
        <v/>
      </c>
      <c r="S23" s="76" t="s">
        <v>1137</v>
      </c>
      <c r="T23" s="107" t="s">
        <v>1138</v>
      </c>
      <c r="U23" s="109"/>
    </row>
    <row r="24" spans="1:21" ht="30" customHeight="1" x14ac:dyDescent="0.3">
      <c r="N24" t="str">
        <f t="shared" si="0"/>
        <v/>
      </c>
      <c r="O24" t="str">
        <f t="shared" si="1"/>
        <v/>
      </c>
      <c r="S24" s="76" t="s">
        <v>1139</v>
      </c>
      <c r="T24" s="107" t="s">
        <v>1140</v>
      </c>
      <c r="U24" s="109"/>
    </row>
    <row r="25" spans="1:21" ht="30" customHeight="1" x14ac:dyDescent="0.3">
      <c r="N25" t="str">
        <f t="shared" si="0"/>
        <v/>
      </c>
      <c r="O25" t="str">
        <f t="shared" si="1"/>
        <v/>
      </c>
      <c r="S25" s="76" t="s">
        <v>1141</v>
      </c>
      <c r="T25" s="107" t="s">
        <v>1142</v>
      </c>
      <c r="U25" s="109"/>
    </row>
    <row r="26" spans="1:21" ht="30" customHeight="1" x14ac:dyDescent="0.3">
      <c r="N26" t="str">
        <f t="shared" si="0"/>
        <v/>
      </c>
      <c r="O26" t="str">
        <f t="shared" si="1"/>
        <v/>
      </c>
      <c r="S26" s="76" t="s">
        <v>1143</v>
      </c>
      <c r="T26" s="107" t="s">
        <v>1144</v>
      </c>
      <c r="U26" s="109"/>
    </row>
    <row r="27" spans="1:21" ht="30" customHeight="1" x14ac:dyDescent="0.3">
      <c r="N27" t="str">
        <f t="shared" si="0"/>
        <v/>
      </c>
      <c r="O27" t="str">
        <f t="shared" si="1"/>
        <v/>
      </c>
      <c r="S27" s="76" t="s">
        <v>1145</v>
      </c>
      <c r="T27" s="107" t="s">
        <v>1146</v>
      </c>
      <c r="U27" s="109"/>
    </row>
    <row r="28" spans="1:21" ht="30" customHeight="1" x14ac:dyDescent="0.3">
      <c r="N28" t="str">
        <f t="shared" si="0"/>
        <v/>
      </c>
      <c r="O28" t="str">
        <f t="shared" si="1"/>
        <v/>
      </c>
      <c r="S28" s="76" t="s">
        <v>1147</v>
      </c>
      <c r="T28" s="107" t="s">
        <v>1148</v>
      </c>
      <c r="U28" s="109"/>
    </row>
    <row r="29" spans="1:21" ht="33.6" customHeight="1" x14ac:dyDescent="0.3">
      <c r="N29" t="str">
        <f t="shared" si="0"/>
        <v/>
      </c>
      <c r="O29" t="str">
        <f t="shared" si="1"/>
        <v/>
      </c>
      <c r="S29" s="119" t="s">
        <v>1149</v>
      </c>
      <c r="T29" s="108"/>
      <c r="U29" s="109"/>
    </row>
    <row r="30" spans="1:21" ht="30" customHeight="1" x14ac:dyDescent="0.3">
      <c r="N30" t="str">
        <f t="shared" si="0"/>
        <v/>
      </c>
      <c r="O30" t="str">
        <f t="shared" si="1"/>
        <v/>
      </c>
      <c r="S30" s="76" t="s">
        <v>1127</v>
      </c>
      <c r="T30" s="107" t="s">
        <v>1150</v>
      </c>
      <c r="U30" s="109"/>
    </row>
    <row r="31" spans="1:21" ht="30" customHeight="1" x14ac:dyDescent="0.3">
      <c r="N31" t="str">
        <f t="shared" si="0"/>
        <v/>
      </c>
      <c r="O31" t="str">
        <f t="shared" si="1"/>
        <v/>
      </c>
      <c r="S31" s="76" t="s">
        <v>1151</v>
      </c>
      <c r="T31" s="107" t="s">
        <v>1152</v>
      </c>
      <c r="U31" s="109"/>
    </row>
    <row r="32" spans="1:21" ht="30" customHeight="1" x14ac:dyDescent="0.3">
      <c r="N32" t="str">
        <f t="shared" si="0"/>
        <v/>
      </c>
      <c r="O32" t="str">
        <f t="shared" si="1"/>
        <v/>
      </c>
      <c r="S32" s="76" t="s">
        <v>1153</v>
      </c>
      <c r="T32" s="107" t="s">
        <v>1154</v>
      </c>
      <c r="U32" s="109"/>
    </row>
    <row r="33" spans="14:21" ht="30" customHeight="1" x14ac:dyDescent="0.3">
      <c r="N33" t="str">
        <f t="shared" si="0"/>
        <v/>
      </c>
      <c r="O33" t="str">
        <f t="shared" si="1"/>
        <v/>
      </c>
      <c r="S33" s="76" t="s">
        <v>1155</v>
      </c>
      <c r="T33" s="107" t="s">
        <v>1156</v>
      </c>
      <c r="U33" s="109"/>
    </row>
    <row r="34" spans="14:21" ht="30" customHeight="1" x14ac:dyDescent="0.3">
      <c r="N34" t="str">
        <f t="shared" si="0"/>
        <v/>
      </c>
      <c r="O34" t="str">
        <f t="shared" si="1"/>
        <v/>
      </c>
      <c r="S34" s="76" t="s">
        <v>1157</v>
      </c>
      <c r="T34" s="107" t="s">
        <v>1158</v>
      </c>
      <c r="U34" s="109"/>
    </row>
    <row r="35" spans="14:21" ht="30" customHeight="1" x14ac:dyDescent="0.3">
      <c r="N35" t="str">
        <f t="shared" si="0"/>
        <v/>
      </c>
      <c r="O35" t="str">
        <f t="shared" si="1"/>
        <v/>
      </c>
      <c r="S35" s="76" t="s">
        <v>1159</v>
      </c>
      <c r="T35" s="107" t="s">
        <v>1160</v>
      </c>
      <c r="U35" s="109"/>
    </row>
    <row r="36" spans="14:21" ht="30" customHeight="1" x14ac:dyDescent="0.3">
      <c r="N36" t="str">
        <f t="shared" si="0"/>
        <v/>
      </c>
      <c r="O36" t="str">
        <f t="shared" si="1"/>
        <v/>
      </c>
      <c r="S36" s="76" t="s">
        <v>1161</v>
      </c>
      <c r="T36" s="107" t="s">
        <v>1162</v>
      </c>
      <c r="U36" s="109"/>
    </row>
    <row r="37" spans="14:21" ht="30" customHeight="1" x14ac:dyDescent="0.3">
      <c r="N37" t="str">
        <f t="shared" si="0"/>
        <v/>
      </c>
      <c r="O37" t="str">
        <f t="shared" si="1"/>
        <v/>
      </c>
      <c r="S37" s="76" t="s">
        <v>1163</v>
      </c>
      <c r="T37" s="107" t="s">
        <v>1164</v>
      </c>
      <c r="U37" s="109"/>
    </row>
    <row r="38" spans="14:21" ht="30" customHeight="1" x14ac:dyDescent="0.3">
      <c r="N38" t="str">
        <f t="shared" si="0"/>
        <v/>
      </c>
      <c r="O38" t="str">
        <f t="shared" si="1"/>
        <v/>
      </c>
      <c r="S38" s="76" t="s">
        <v>1165</v>
      </c>
      <c r="T38" s="107" t="s">
        <v>1166</v>
      </c>
      <c r="U38" s="109"/>
    </row>
    <row r="39" spans="14:21" ht="30" customHeight="1" x14ac:dyDescent="0.3">
      <c r="N39" t="str">
        <f t="shared" si="0"/>
        <v/>
      </c>
      <c r="O39" t="str">
        <f t="shared" si="1"/>
        <v/>
      </c>
      <c r="S39" s="76" t="s">
        <v>1147</v>
      </c>
      <c r="T39" s="107" t="s">
        <v>1167</v>
      </c>
      <c r="U39" s="109"/>
    </row>
    <row r="40" spans="14:21" ht="33.6" customHeight="1" x14ac:dyDescent="0.3">
      <c r="N40" t="str">
        <f t="shared" si="0"/>
        <v/>
      </c>
      <c r="O40" t="str">
        <f t="shared" si="1"/>
        <v/>
      </c>
    </row>
    <row r="41" spans="14:21" ht="33.6" customHeight="1" x14ac:dyDescent="0.3">
      <c r="N41" t="str">
        <f t="shared" si="0"/>
        <v/>
      </c>
      <c r="O41" t="str">
        <f t="shared" si="1"/>
        <v/>
      </c>
    </row>
    <row r="42" spans="14:21" ht="33.6" customHeight="1" x14ac:dyDescent="0.3">
      <c r="N42" t="str">
        <f t="shared" si="0"/>
        <v/>
      </c>
      <c r="O42" t="str">
        <f t="shared" si="1"/>
        <v/>
      </c>
    </row>
    <row r="43" spans="14:21" ht="33.6" customHeight="1" x14ac:dyDescent="0.3">
      <c r="N43" t="str">
        <f t="shared" si="0"/>
        <v/>
      </c>
      <c r="O43" t="str">
        <f t="shared" si="1"/>
        <v/>
      </c>
    </row>
    <row r="44" spans="14:21" ht="33.6" customHeight="1" x14ac:dyDescent="0.3">
      <c r="N44" t="str">
        <f t="shared" si="0"/>
        <v/>
      </c>
      <c r="O44" t="str">
        <f t="shared" si="1"/>
        <v/>
      </c>
    </row>
    <row r="45" spans="14:21" ht="33.6" customHeight="1" x14ac:dyDescent="0.3">
      <c r="N45" t="str">
        <f t="shared" si="0"/>
        <v/>
      </c>
      <c r="O45" t="str">
        <f t="shared" si="1"/>
        <v/>
      </c>
    </row>
    <row r="46" spans="14:21" ht="33.6" customHeight="1" x14ac:dyDescent="0.3">
      <c r="N46" t="str">
        <f t="shared" si="0"/>
        <v/>
      </c>
      <c r="O46" t="str">
        <f t="shared" si="1"/>
        <v/>
      </c>
    </row>
    <row r="47" spans="14:21" ht="33.6" customHeight="1" x14ac:dyDescent="0.3">
      <c r="N47" t="str">
        <f t="shared" si="0"/>
        <v/>
      </c>
      <c r="O47" t="str">
        <f t="shared" si="1"/>
        <v/>
      </c>
    </row>
    <row r="48" spans="14:21" ht="33.6" customHeight="1" x14ac:dyDescent="0.3">
      <c r="N48" t="str">
        <f t="shared" si="0"/>
        <v/>
      </c>
      <c r="O48" t="str">
        <f t="shared" si="1"/>
        <v/>
      </c>
    </row>
    <row r="49" spans="14:15" ht="33.6" customHeight="1" x14ac:dyDescent="0.3">
      <c r="N49" t="str">
        <f t="shared" si="0"/>
        <v/>
      </c>
      <c r="O49" t="str">
        <f t="shared" si="1"/>
        <v/>
      </c>
    </row>
    <row r="50" spans="14:15" ht="33.6" customHeight="1" x14ac:dyDescent="0.3">
      <c r="N50" t="str">
        <f t="shared" si="0"/>
        <v/>
      </c>
      <c r="O50" t="str">
        <f t="shared" si="1"/>
        <v/>
      </c>
    </row>
    <row r="51" spans="14:15" ht="33.6" customHeight="1" x14ac:dyDescent="0.3">
      <c r="N51" t="str">
        <f t="shared" si="0"/>
        <v/>
      </c>
      <c r="O51" t="str">
        <f t="shared" si="1"/>
        <v/>
      </c>
    </row>
    <row r="52" spans="14:15" ht="33.6" customHeight="1" x14ac:dyDescent="0.3">
      <c r="N52" t="str">
        <f t="shared" si="0"/>
        <v/>
      </c>
      <c r="O52" t="str">
        <f t="shared" si="1"/>
        <v/>
      </c>
    </row>
    <row r="53" spans="14:15" ht="33.6" customHeight="1" x14ac:dyDescent="0.3">
      <c r="N53" t="str">
        <f t="shared" si="0"/>
        <v/>
      </c>
      <c r="O53" t="str">
        <f t="shared" si="1"/>
        <v/>
      </c>
    </row>
    <row r="54" spans="14:15" ht="33.6" customHeight="1" x14ac:dyDescent="0.3">
      <c r="N54" t="str">
        <f t="shared" si="0"/>
        <v/>
      </c>
      <c r="O54" t="str">
        <f t="shared" si="1"/>
        <v/>
      </c>
    </row>
    <row r="55" spans="14:15" ht="33.6" customHeight="1" x14ac:dyDescent="0.3">
      <c r="N55" t="str">
        <f t="shared" si="0"/>
        <v/>
      </c>
      <c r="O55" t="str">
        <f t="shared" si="1"/>
        <v/>
      </c>
    </row>
    <row r="56" spans="14:15" ht="33.6" customHeight="1" x14ac:dyDescent="0.3">
      <c r="N56" t="str">
        <f t="shared" si="0"/>
        <v/>
      </c>
      <c r="O56" t="str">
        <f t="shared" si="1"/>
        <v/>
      </c>
    </row>
    <row r="57" spans="14:15" ht="33.6" customHeight="1" x14ac:dyDescent="0.3">
      <c r="N57" t="str">
        <f t="shared" si="0"/>
        <v/>
      </c>
      <c r="O57" t="str">
        <f t="shared" si="1"/>
        <v/>
      </c>
    </row>
    <row r="58" spans="14:15" ht="33.6" customHeight="1" x14ac:dyDescent="0.3">
      <c r="N58" t="str">
        <f t="shared" si="0"/>
        <v/>
      </c>
      <c r="O58" t="str">
        <f t="shared" si="1"/>
        <v/>
      </c>
    </row>
    <row r="59" spans="14:15" ht="33.6" customHeight="1" x14ac:dyDescent="0.3">
      <c r="N59" t="str">
        <f t="shared" si="0"/>
        <v/>
      </c>
      <c r="O59" t="str">
        <f t="shared" si="1"/>
        <v/>
      </c>
    </row>
    <row r="60" spans="14:15" ht="33.6" customHeight="1" x14ac:dyDescent="0.3">
      <c r="N60" t="str">
        <f t="shared" si="0"/>
        <v/>
      </c>
      <c r="O60" t="str">
        <f t="shared" si="1"/>
        <v/>
      </c>
    </row>
    <row r="61" spans="14:15" ht="33.6" customHeight="1" x14ac:dyDescent="0.3">
      <c r="N61" t="str">
        <f t="shared" si="0"/>
        <v/>
      </c>
      <c r="O61" t="str">
        <f t="shared" si="1"/>
        <v/>
      </c>
    </row>
    <row r="62" spans="14:15" ht="33.6" customHeight="1" x14ac:dyDescent="0.3">
      <c r="N62" t="str">
        <f t="shared" si="0"/>
        <v/>
      </c>
      <c r="O62" t="str">
        <f t="shared" si="1"/>
        <v/>
      </c>
    </row>
    <row r="63" spans="14:15" ht="33.6" customHeight="1" x14ac:dyDescent="0.3">
      <c r="N63" t="str">
        <f t="shared" si="0"/>
        <v/>
      </c>
      <c r="O63" t="str">
        <f t="shared" si="1"/>
        <v/>
      </c>
    </row>
    <row r="64" spans="14:15" ht="33.6" customHeight="1" x14ac:dyDescent="0.3">
      <c r="N64" t="str">
        <f t="shared" si="0"/>
        <v/>
      </c>
      <c r="O64" t="str">
        <f t="shared" si="1"/>
        <v/>
      </c>
    </row>
    <row r="65" spans="14:15" ht="33.6" customHeight="1" x14ac:dyDescent="0.3">
      <c r="N65" t="str">
        <f t="shared" si="0"/>
        <v/>
      </c>
      <c r="O65" t="str">
        <f t="shared" si="1"/>
        <v/>
      </c>
    </row>
    <row r="66" spans="14:15" ht="33.6" customHeight="1" x14ac:dyDescent="0.3">
      <c r="N66" t="str">
        <f t="shared" si="0"/>
        <v/>
      </c>
      <c r="O66" t="str">
        <f t="shared" si="1"/>
        <v/>
      </c>
    </row>
    <row r="67" spans="14:15" ht="33.6" customHeight="1" x14ac:dyDescent="0.3">
      <c r="N67" t="str">
        <f t="shared" si="0"/>
        <v/>
      </c>
      <c r="O67" t="str">
        <f t="shared" si="1"/>
        <v/>
      </c>
    </row>
    <row r="68" spans="14:15" ht="33.6" customHeight="1" x14ac:dyDescent="0.3">
      <c r="N68" t="str">
        <f t="shared" ref="N68:N131" si="2">IF(COUNT(D68:M68)=0,"",SUM(D68:M68))</f>
        <v/>
      </c>
      <c r="O68" t="str">
        <f t="shared" ref="O68:O131" si="3">IF(N68="","",IF(N68&gt;=16,"Alta calidad",IF(N68&gt;=11,"Media calidad","Baja calidad")))</f>
        <v/>
      </c>
    </row>
    <row r="69" spans="14:15" ht="33.6" customHeight="1" x14ac:dyDescent="0.3">
      <c r="N69" t="str">
        <f t="shared" si="2"/>
        <v/>
      </c>
      <c r="O69" t="str">
        <f t="shared" si="3"/>
        <v/>
      </c>
    </row>
    <row r="70" spans="14:15" ht="33.6" customHeight="1" x14ac:dyDescent="0.3">
      <c r="N70" t="str">
        <f t="shared" si="2"/>
        <v/>
      </c>
      <c r="O70" t="str">
        <f t="shared" si="3"/>
        <v/>
      </c>
    </row>
    <row r="71" spans="14:15" ht="33.6" customHeight="1" x14ac:dyDescent="0.3">
      <c r="N71" t="str">
        <f t="shared" si="2"/>
        <v/>
      </c>
      <c r="O71" t="str">
        <f t="shared" si="3"/>
        <v/>
      </c>
    </row>
    <row r="72" spans="14:15" ht="33.6" customHeight="1" x14ac:dyDescent="0.3">
      <c r="N72" t="str">
        <f t="shared" si="2"/>
        <v/>
      </c>
      <c r="O72" t="str">
        <f t="shared" si="3"/>
        <v/>
      </c>
    </row>
    <row r="73" spans="14:15" ht="33.6" customHeight="1" x14ac:dyDescent="0.3">
      <c r="N73" t="str">
        <f t="shared" si="2"/>
        <v/>
      </c>
      <c r="O73" t="str">
        <f t="shared" si="3"/>
        <v/>
      </c>
    </row>
    <row r="74" spans="14:15" ht="33.6" customHeight="1" x14ac:dyDescent="0.3">
      <c r="N74" t="str">
        <f t="shared" si="2"/>
        <v/>
      </c>
      <c r="O74" t="str">
        <f t="shared" si="3"/>
        <v/>
      </c>
    </row>
    <row r="75" spans="14:15" ht="33.6" customHeight="1" x14ac:dyDescent="0.3">
      <c r="N75" t="str">
        <f t="shared" si="2"/>
        <v/>
      </c>
      <c r="O75" t="str">
        <f t="shared" si="3"/>
        <v/>
      </c>
    </row>
    <row r="76" spans="14:15" ht="33.6" customHeight="1" x14ac:dyDescent="0.3">
      <c r="N76" t="str">
        <f t="shared" si="2"/>
        <v/>
      </c>
      <c r="O76" t="str">
        <f t="shared" si="3"/>
        <v/>
      </c>
    </row>
    <row r="77" spans="14:15" ht="33.6" customHeight="1" x14ac:dyDescent="0.3">
      <c r="N77" t="str">
        <f t="shared" si="2"/>
        <v/>
      </c>
      <c r="O77" t="str">
        <f t="shared" si="3"/>
        <v/>
      </c>
    </row>
    <row r="78" spans="14:15" ht="33.6" customHeight="1" x14ac:dyDescent="0.3">
      <c r="N78" t="str">
        <f t="shared" si="2"/>
        <v/>
      </c>
      <c r="O78" t="str">
        <f t="shared" si="3"/>
        <v/>
      </c>
    </row>
    <row r="79" spans="14:15" ht="33.6" customHeight="1" x14ac:dyDescent="0.3">
      <c r="N79" t="str">
        <f t="shared" si="2"/>
        <v/>
      </c>
      <c r="O79" t="str">
        <f t="shared" si="3"/>
        <v/>
      </c>
    </row>
    <row r="80" spans="14:15" ht="33.6" customHeight="1" x14ac:dyDescent="0.3">
      <c r="N80" t="str">
        <f t="shared" si="2"/>
        <v/>
      </c>
      <c r="O80" t="str">
        <f t="shared" si="3"/>
        <v/>
      </c>
    </row>
    <row r="81" spans="14:15" ht="33.6" customHeight="1" x14ac:dyDescent="0.3">
      <c r="N81" t="str">
        <f t="shared" si="2"/>
        <v/>
      </c>
      <c r="O81" t="str">
        <f t="shared" si="3"/>
        <v/>
      </c>
    </row>
    <row r="82" spans="14:15" ht="33.6" customHeight="1" x14ac:dyDescent="0.3">
      <c r="N82" t="str">
        <f t="shared" si="2"/>
        <v/>
      </c>
      <c r="O82" t="str">
        <f t="shared" si="3"/>
        <v/>
      </c>
    </row>
    <row r="83" spans="14:15" ht="33.6" customHeight="1" x14ac:dyDescent="0.3">
      <c r="N83" t="str">
        <f t="shared" si="2"/>
        <v/>
      </c>
      <c r="O83" t="str">
        <f t="shared" si="3"/>
        <v/>
      </c>
    </row>
    <row r="84" spans="14:15" ht="33.6" customHeight="1" x14ac:dyDescent="0.3">
      <c r="N84" t="str">
        <f t="shared" si="2"/>
        <v/>
      </c>
      <c r="O84" t="str">
        <f t="shared" si="3"/>
        <v/>
      </c>
    </row>
    <row r="85" spans="14:15" ht="33.6" customHeight="1" x14ac:dyDescent="0.3">
      <c r="N85" t="str">
        <f t="shared" si="2"/>
        <v/>
      </c>
      <c r="O85" t="str">
        <f t="shared" si="3"/>
        <v/>
      </c>
    </row>
    <row r="86" spans="14:15" ht="33.6" customHeight="1" x14ac:dyDescent="0.3">
      <c r="N86" t="str">
        <f t="shared" si="2"/>
        <v/>
      </c>
      <c r="O86" t="str">
        <f t="shared" si="3"/>
        <v/>
      </c>
    </row>
    <row r="87" spans="14:15" ht="33.6" customHeight="1" x14ac:dyDescent="0.3">
      <c r="N87" t="str">
        <f t="shared" si="2"/>
        <v/>
      </c>
      <c r="O87" t="str">
        <f t="shared" si="3"/>
        <v/>
      </c>
    </row>
    <row r="88" spans="14:15" ht="33.6" customHeight="1" x14ac:dyDescent="0.3">
      <c r="N88" t="str">
        <f t="shared" si="2"/>
        <v/>
      </c>
      <c r="O88" t="str">
        <f t="shared" si="3"/>
        <v/>
      </c>
    </row>
    <row r="89" spans="14:15" ht="33.6" customHeight="1" x14ac:dyDescent="0.3">
      <c r="N89" t="str">
        <f t="shared" si="2"/>
        <v/>
      </c>
      <c r="O89" t="str">
        <f t="shared" si="3"/>
        <v/>
      </c>
    </row>
    <row r="90" spans="14:15" ht="33.6" customHeight="1" x14ac:dyDescent="0.3">
      <c r="N90" t="str">
        <f t="shared" si="2"/>
        <v/>
      </c>
      <c r="O90" t="str">
        <f t="shared" si="3"/>
        <v/>
      </c>
    </row>
    <row r="91" spans="14:15" ht="33.6" customHeight="1" x14ac:dyDescent="0.3">
      <c r="N91" t="str">
        <f t="shared" si="2"/>
        <v/>
      </c>
      <c r="O91" t="str">
        <f t="shared" si="3"/>
        <v/>
      </c>
    </row>
    <row r="92" spans="14:15" ht="33.6" customHeight="1" x14ac:dyDescent="0.3">
      <c r="N92" t="str">
        <f t="shared" si="2"/>
        <v/>
      </c>
      <c r="O92" t="str">
        <f t="shared" si="3"/>
        <v/>
      </c>
    </row>
    <row r="93" spans="14:15" ht="33.6" customHeight="1" x14ac:dyDescent="0.3">
      <c r="N93" t="str">
        <f t="shared" si="2"/>
        <v/>
      </c>
      <c r="O93" t="str">
        <f t="shared" si="3"/>
        <v/>
      </c>
    </row>
    <row r="94" spans="14:15" ht="33.6" customHeight="1" x14ac:dyDescent="0.3">
      <c r="N94" t="str">
        <f t="shared" si="2"/>
        <v/>
      </c>
      <c r="O94" t="str">
        <f t="shared" si="3"/>
        <v/>
      </c>
    </row>
    <row r="95" spans="14:15" ht="33.6" customHeight="1" x14ac:dyDescent="0.3">
      <c r="N95" t="str">
        <f t="shared" si="2"/>
        <v/>
      </c>
      <c r="O95" t="str">
        <f t="shared" si="3"/>
        <v/>
      </c>
    </row>
    <row r="96" spans="14:15" ht="33.6" customHeight="1" x14ac:dyDescent="0.3">
      <c r="N96" t="str">
        <f t="shared" si="2"/>
        <v/>
      </c>
      <c r="O96" t="str">
        <f t="shared" si="3"/>
        <v/>
      </c>
    </row>
    <row r="97" spans="14:15" ht="33.6" customHeight="1" x14ac:dyDescent="0.3">
      <c r="N97" t="str">
        <f t="shared" si="2"/>
        <v/>
      </c>
      <c r="O97" t="str">
        <f t="shared" si="3"/>
        <v/>
      </c>
    </row>
    <row r="98" spans="14:15" ht="33.6" customHeight="1" x14ac:dyDescent="0.3">
      <c r="N98" t="str">
        <f t="shared" si="2"/>
        <v/>
      </c>
      <c r="O98" t="str">
        <f t="shared" si="3"/>
        <v/>
      </c>
    </row>
    <row r="99" spans="14:15" ht="33.6" customHeight="1" x14ac:dyDescent="0.3">
      <c r="N99" t="str">
        <f t="shared" si="2"/>
        <v/>
      </c>
      <c r="O99" t="str">
        <f t="shared" si="3"/>
        <v/>
      </c>
    </row>
    <row r="100" spans="14:15" ht="33.6" customHeight="1" x14ac:dyDescent="0.3">
      <c r="N100" t="str">
        <f t="shared" si="2"/>
        <v/>
      </c>
      <c r="O100" t="str">
        <f t="shared" si="3"/>
        <v/>
      </c>
    </row>
    <row r="101" spans="14:15" ht="33.6" customHeight="1" x14ac:dyDescent="0.3">
      <c r="N101" t="str">
        <f t="shared" si="2"/>
        <v/>
      </c>
      <c r="O101" t="str">
        <f t="shared" si="3"/>
        <v/>
      </c>
    </row>
    <row r="102" spans="14:15" ht="33.6" customHeight="1" x14ac:dyDescent="0.3">
      <c r="N102" t="str">
        <f t="shared" si="2"/>
        <v/>
      </c>
      <c r="O102" t="str">
        <f t="shared" si="3"/>
        <v/>
      </c>
    </row>
    <row r="103" spans="14:15" ht="33.6" customHeight="1" x14ac:dyDescent="0.3">
      <c r="N103" t="str">
        <f t="shared" si="2"/>
        <v/>
      </c>
      <c r="O103" t="str">
        <f t="shared" si="3"/>
        <v/>
      </c>
    </row>
    <row r="104" spans="14:15" ht="33.6" customHeight="1" x14ac:dyDescent="0.3">
      <c r="N104" t="str">
        <f t="shared" si="2"/>
        <v/>
      </c>
      <c r="O104" t="str">
        <f t="shared" si="3"/>
        <v/>
      </c>
    </row>
    <row r="105" spans="14:15" ht="33.6" customHeight="1" x14ac:dyDescent="0.3">
      <c r="N105" t="str">
        <f t="shared" si="2"/>
        <v/>
      </c>
      <c r="O105" t="str">
        <f t="shared" si="3"/>
        <v/>
      </c>
    </row>
    <row r="106" spans="14:15" ht="33.6" customHeight="1" x14ac:dyDescent="0.3">
      <c r="N106" t="str">
        <f t="shared" si="2"/>
        <v/>
      </c>
      <c r="O106" t="str">
        <f t="shared" si="3"/>
        <v/>
      </c>
    </row>
    <row r="107" spans="14:15" ht="33.6" customHeight="1" x14ac:dyDescent="0.3">
      <c r="N107" t="str">
        <f t="shared" si="2"/>
        <v/>
      </c>
      <c r="O107" t="str">
        <f t="shared" si="3"/>
        <v/>
      </c>
    </row>
    <row r="108" spans="14:15" ht="33.6" customHeight="1" x14ac:dyDescent="0.3">
      <c r="N108" t="str">
        <f t="shared" si="2"/>
        <v/>
      </c>
      <c r="O108" t="str">
        <f t="shared" si="3"/>
        <v/>
      </c>
    </row>
    <row r="109" spans="14:15" ht="33.6" customHeight="1" x14ac:dyDescent="0.3">
      <c r="N109" t="str">
        <f t="shared" si="2"/>
        <v/>
      </c>
      <c r="O109" t="str">
        <f t="shared" si="3"/>
        <v/>
      </c>
    </row>
    <row r="110" spans="14:15" ht="33.6" customHeight="1" x14ac:dyDescent="0.3">
      <c r="N110" t="str">
        <f t="shared" si="2"/>
        <v/>
      </c>
      <c r="O110" t="str">
        <f t="shared" si="3"/>
        <v/>
      </c>
    </row>
    <row r="111" spans="14:15" ht="33.6" customHeight="1" x14ac:dyDescent="0.3">
      <c r="N111" t="str">
        <f t="shared" si="2"/>
        <v/>
      </c>
      <c r="O111" t="str">
        <f t="shared" si="3"/>
        <v/>
      </c>
    </row>
    <row r="112" spans="14:15" ht="33.6" customHeight="1" x14ac:dyDescent="0.3">
      <c r="N112" t="str">
        <f t="shared" si="2"/>
        <v/>
      </c>
      <c r="O112" t="str">
        <f t="shared" si="3"/>
        <v/>
      </c>
    </row>
    <row r="113" spans="14:15" ht="33.6" customHeight="1" x14ac:dyDescent="0.3">
      <c r="N113" t="str">
        <f t="shared" si="2"/>
        <v/>
      </c>
      <c r="O113" t="str">
        <f t="shared" si="3"/>
        <v/>
      </c>
    </row>
    <row r="114" spans="14:15" ht="33.6" customHeight="1" x14ac:dyDescent="0.3">
      <c r="N114" t="str">
        <f t="shared" si="2"/>
        <v/>
      </c>
      <c r="O114" t="str">
        <f t="shared" si="3"/>
        <v/>
      </c>
    </row>
    <row r="115" spans="14:15" ht="33.6" customHeight="1" x14ac:dyDescent="0.3">
      <c r="N115" t="str">
        <f t="shared" si="2"/>
        <v/>
      </c>
      <c r="O115" t="str">
        <f t="shared" si="3"/>
        <v/>
      </c>
    </row>
    <row r="116" spans="14:15" ht="33.6" customHeight="1" x14ac:dyDescent="0.3">
      <c r="N116" t="str">
        <f t="shared" si="2"/>
        <v/>
      </c>
      <c r="O116" t="str">
        <f t="shared" si="3"/>
        <v/>
      </c>
    </row>
    <row r="117" spans="14:15" ht="33.6" customHeight="1" x14ac:dyDescent="0.3">
      <c r="N117" t="str">
        <f t="shared" si="2"/>
        <v/>
      </c>
      <c r="O117" t="str">
        <f t="shared" si="3"/>
        <v/>
      </c>
    </row>
    <row r="118" spans="14:15" ht="33.6" customHeight="1" x14ac:dyDescent="0.3">
      <c r="N118" t="str">
        <f t="shared" si="2"/>
        <v/>
      </c>
      <c r="O118" t="str">
        <f t="shared" si="3"/>
        <v/>
      </c>
    </row>
    <row r="119" spans="14:15" ht="33.6" customHeight="1" x14ac:dyDescent="0.3">
      <c r="N119" t="str">
        <f t="shared" si="2"/>
        <v/>
      </c>
      <c r="O119" t="str">
        <f t="shared" si="3"/>
        <v/>
      </c>
    </row>
    <row r="120" spans="14:15" ht="33.6" customHeight="1" x14ac:dyDescent="0.3">
      <c r="N120" t="str">
        <f t="shared" si="2"/>
        <v/>
      </c>
      <c r="O120" t="str">
        <f t="shared" si="3"/>
        <v/>
      </c>
    </row>
    <row r="121" spans="14:15" ht="33.6" customHeight="1" x14ac:dyDescent="0.3">
      <c r="N121" t="str">
        <f t="shared" si="2"/>
        <v/>
      </c>
      <c r="O121" t="str">
        <f t="shared" si="3"/>
        <v/>
      </c>
    </row>
    <row r="122" spans="14:15" ht="33.6" customHeight="1" x14ac:dyDescent="0.3">
      <c r="N122" t="str">
        <f t="shared" si="2"/>
        <v/>
      </c>
      <c r="O122" t="str">
        <f t="shared" si="3"/>
        <v/>
      </c>
    </row>
    <row r="123" spans="14:15" ht="33.6" customHeight="1" x14ac:dyDescent="0.3">
      <c r="N123" t="str">
        <f t="shared" si="2"/>
        <v/>
      </c>
      <c r="O123" t="str">
        <f t="shared" si="3"/>
        <v/>
      </c>
    </row>
    <row r="124" spans="14:15" ht="33.6" customHeight="1" x14ac:dyDescent="0.3">
      <c r="N124" t="str">
        <f t="shared" si="2"/>
        <v/>
      </c>
      <c r="O124" t="str">
        <f t="shared" si="3"/>
        <v/>
      </c>
    </row>
    <row r="125" spans="14:15" ht="33.6" customHeight="1" x14ac:dyDescent="0.3">
      <c r="N125" t="str">
        <f t="shared" si="2"/>
        <v/>
      </c>
      <c r="O125" t="str">
        <f t="shared" si="3"/>
        <v/>
      </c>
    </row>
    <row r="126" spans="14:15" ht="33.6" customHeight="1" x14ac:dyDescent="0.3">
      <c r="N126" t="str">
        <f t="shared" si="2"/>
        <v/>
      </c>
      <c r="O126" t="str">
        <f t="shared" si="3"/>
        <v/>
      </c>
    </row>
    <row r="127" spans="14:15" ht="33.6" customHeight="1" x14ac:dyDescent="0.3">
      <c r="N127" t="str">
        <f t="shared" si="2"/>
        <v/>
      </c>
      <c r="O127" t="str">
        <f t="shared" si="3"/>
        <v/>
      </c>
    </row>
    <row r="128" spans="14:15" ht="33.6" customHeight="1" x14ac:dyDescent="0.3">
      <c r="N128" t="str">
        <f t="shared" si="2"/>
        <v/>
      </c>
      <c r="O128" t="str">
        <f t="shared" si="3"/>
        <v/>
      </c>
    </row>
    <row r="129" spans="14:15" ht="33.6" customHeight="1" x14ac:dyDescent="0.3">
      <c r="N129" t="str">
        <f t="shared" si="2"/>
        <v/>
      </c>
      <c r="O129" t="str">
        <f t="shared" si="3"/>
        <v/>
      </c>
    </row>
    <row r="130" spans="14:15" ht="33.6" customHeight="1" x14ac:dyDescent="0.3">
      <c r="N130" t="str">
        <f t="shared" si="2"/>
        <v/>
      </c>
      <c r="O130" t="str">
        <f t="shared" si="3"/>
        <v/>
      </c>
    </row>
    <row r="131" spans="14:15" ht="33.6" customHeight="1" x14ac:dyDescent="0.3">
      <c r="N131" t="str">
        <f t="shared" si="2"/>
        <v/>
      </c>
      <c r="O131" t="str">
        <f t="shared" si="3"/>
        <v/>
      </c>
    </row>
    <row r="132" spans="14:15" ht="33.6" customHeight="1" x14ac:dyDescent="0.3">
      <c r="N132" t="str">
        <f t="shared" ref="N132:N195" si="4">IF(COUNT(D132:M132)=0,"",SUM(D132:M132))</f>
        <v/>
      </c>
      <c r="O132" t="str">
        <f t="shared" ref="O132:O195" si="5">IF(N132="","",IF(N132&gt;=16,"Alta calidad",IF(N132&gt;=11,"Media calidad","Baja calidad")))</f>
        <v/>
      </c>
    </row>
    <row r="133" spans="14:15" ht="33.6" customHeight="1" x14ac:dyDescent="0.3">
      <c r="N133" t="str">
        <f t="shared" si="4"/>
        <v/>
      </c>
      <c r="O133" t="str">
        <f t="shared" si="5"/>
        <v/>
      </c>
    </row>
    <row r="134" spans="14:15" ht="33.6" customHeight="1" x14ac:dyDescent="0.3">
      <c r="N134" t="str">
        <f t="shared" si="4"/>
        <v/>
      </c>
      <c r="O134" t="str">
        <f t="shared" si="5"/>
        <v/>
      </c>
    </row>
    <row r="135" spans="14:15" ht="33.6" customHeight="1" x14ac:dyDescent="0.3">
      <c r="N135" t="str">
        <f t="shared" si="4"/>
        <v/>
      </c>
      <c r="O135" t="str">
        <f t="shared" si="5"/>
        <v/>
      </c>
    </row>
    <row r="136" spans="14:15" ht="33.6" customHeight="1" x14ac:dyDescent="0.3">
      <c r="N136" t="str">
        <f t="shared" si="4"/>
        <v/>
      </c>
      <c r="O136" t="str">
        <f t="shared" si="5"/>
        <v/>
      </c>
    </row>
    <row r="137" spans="14:15" ht="33.6" customHeight="1" x14ac:dyDescent="0.3">
      <c r="N137" t="str">
        <f t="shared" si="4"/>
        <v/>
      </c>
      <c r="O137" t="str">
        <f t="shared" si="5"/>
        <v/>
      </c>
    </row>
    <row r="138" spans="14:15" ht="33.6" customHeight="1" x14ac:dyDescent="0.3">
      <c r="N138" t="str">
        <f t="shared" si="4"/>
        <v/>
      </c>
      <c r="O138" t="str">
        <f t="shared" si="5"/>
        <v/>
      </c>
    </row>
    <row r="139" spans="14:15" ht="33.6" customHeight="1" x14ac:dyDescent="0.3">
      <c r="N139" t="str">
        <f t="shared" si="4"/>
        <v/>
      </c>
      <c r="O139" t="str">
        <f t="shared" si="5"/>
        <v/>
      </c>
    </row>
    <row r="140" spans="14:15" ht="33.6" customHeight="1" x14ac:dyDescent="0.3">
      <c r="N140" t="str">
        <f t="shared" si="4"/>
        <v/>
      </c>
      <c r="O140" t="str">
        <f t="shared" si="5"/>
        <v/>
      </c>
    </row>
    <row r="141" spans="14:15" ht="33.6" customHeight="1" x14ac:dyDescent="0.3">
      <c r="N141" t="str">
        <f t="shared" si="4"/>
        <v/>
      </c>
      <c r="O141" t="str">
        <f t="shared" si="5"/>
        <v/>
      </c>
    </row>
    <row r="142" spans="14:15" ht="33.6" customHeight="1" x14ac:dyDescent="0.3">
      <c r="N142" t="str">
        <f t="shared" si="4"/>
        <v/>
      </c>
      <c r="O142" t="str">
        <f t="shared" si="5"/>
        <v/>
      </c>
    </row>
    <row r="143" spans="14:15" ht="33.6" customHeight="1" x14ac:dyDescent="0.3">
      <c r="N143" t="str">
        <f t="shared" si="4"/>
        <v/>
      </c>
      <c r="O143" t="str">
        <f t="shared" si="5"/>
        <v/>
      </c>
    </row>
    <row r="144" spans="14:15" ht="33.6" customHeight="1" x14ac:dyDescent="0.3">
      <c r="N144" t="str">
        <f t="shared" si="4"/>
        <v/>
      </c>
      <c r="O144" t="str">
        <f t="shared" si="5"/>
        <v/>
      </c>
    </row>
    <row r="145" spans="14:15" ht="33.6" customHeight="1" x14ac:dyDescent="0.3">
      <c r="N145" t="str">
        <f t="shared" si="4"/>
        <v/>
      </c>
      <c r="O145" t="str">
        <f t="shared" si="5"/>
        <v/>
      </c>
    </row>
    <row r="146" spans="14:15" ht="33.6" customHeight="1" x14ac:dyDescent="0.3">
      <c r="N146" t="str">
        <f t="shared" si="4"/>
        <v/>
      </c>
      <c r="O146" t="str">
        <f t="shared" si="5"/>
        <v/>
      </c>
    </row>
    <row r="147" spans="14:15" ht="33.6" customHeight="1" x14ac:dyDescent="0.3">
      <c r="N147" t="str">
        <f t="shared" si="4"/>
        <v/>
      </c>
      <c r="O147" t="str">
        <f t="shared" si="5"/>
        <v/>
      </c>
    </row>
    <row r="148" spans="14:15" ht="33.6" customHeight="1" x14ac:dyDescent="0.3">
      <c r="N148" t="str">
        <f t="shared" si="4"/>
        <v/>
      </c>
      <c r="O148" t="str">
        <f t="shared" si="5"/>
        <v/>
      </c>
    </row>
    <row r="149" spans="14:15" ht="33.6" customHeight="1" x14ac:dyDescent="0.3">
      <c r="N149" t="str">
        <f t="shared" si="4"/>
        <v/>
      </c>
      <c r="O149" t="str">
        <f t="shared" si="5"/>
        <v/>
      </c>
    </row>
    <row r="150" spans="14:15" ht="33.6" customHeight="1" x14ac:dyDescent="0.3">
      <c r="N150" t="str">
        <f t="shared" si="4"/>
        <v/>
      </c>
      <c r="O150" t="str">
        <f t="shared" si="5"/>
        <v/>
      </c>
    </row>
    <row r="151" spans="14:15" ht="33.6" customHeight="1" x14ac:dyDescent="0.3">
      <c r="N151" t="str">
        <f t="shared" si="4"/>
        <v/>
      </c>
      <c r="O151" t="str">
        <f t="shared" si="5"/>
        <v/>
      </c>
    </row>
    <row r="152" spans="14:15" ht="33.6" customHeight="1" x14ac:dyDescent="0.3">
      <c r="N152" t="str">
        <f t="shared" si="4"/>
        <v/>
      </c>
      <c r="O152" t="str">
        <f t="shared" si="5"/>
        <v/>
      </c>
    </row>
    <row r="153" spans="14:15" ht="33.6" customHeight="1" x14ac:dyDescent="0.3">
      <c r="N153" t="str">
        <f t="shared" si="4"/>
        <v/>
      </c>
      <c r="O153" t="str">
        <f t="shared" si="5"/>
        <v/>
      </c>
    </row>
    <row r="154" spans="14:15" ht="33.6" customHeight="1" x14ac:dyDescent="0.3">
      <c r="N154" t="str">
        <f t="shared" si="4"/>
        <v/>
      </c>
      <c r="O154" t="str">
        <f t="shared" si="5"/>
        <v/>
      </c>
    </row>
    <row r="155" spans="14:15" ht="33.6" customHeight="1" x14ac:dyDescent="0.3">
      <c r="N155" t="str">
        <f t="shared" si="4"/>
        <v/>
      </c>
      <c r="O155" t="str">
        <f t="shared" si="5"/>
        <v/>
      </c>
    </row>
    <row r="156" spans="14:15" ht="33.6" customHeight="1" x14ac:dyDescent="0.3">
      <c r="N156" t="str">
        <f t="shared" si="4"/>
        <v/>
      </c>
      <c r="O156" t="str">
        <f t="shared" si="5"/>
        <v/>
      </c>
    </row>
    <row r="157" spans="14:15" ht="33.6" customHeight="1" x14ac:dyDescent="0.3">
      <c r="N157" t="str">
        <f t="shared" si="4"/>
        <v/>
      </c>
      <c r="O157" t="str">
        <f t="shared" si="5"/>
        <v/>
      </c>
    </row>
    <row r="158" spans="14:15" ht="33.6" customHeight="1" x14ac:dyDescent="0.3">
      <c r="N158" t="str">
        <f t="shared" si="4"/>
        <v/>
      </c>
      <c r="O158" t="str">
        <f t="shared" si="5"/>
        <v/>
      </c>
    </row>
    <row r="159" spans="14:15" ht="33.6" customHeight="1" x14ac:dyDescent="0.3">
      <c r="N159" t="str">
        <f t="shared" si="4"/>
        <v/>
      </c>
      <c r="O159" t="str">
        <f t="shared" si="5"/>
        <v/>
      </c>
    </row>
    <row r="160" spans="14:15" ht="33.6" customHeight="1" x14ac:dyDescent="0.3">
      <c r="N160" t="str">
        <f t="shared" si="4"/>
        <v/>
      </c>
      <c r="O160" t="str">
        <f t="shared" si="5"/>
        <v/>
      </c>
    </row>
    <row r="161" spans="14:15" ht="33.6" customHeight="1" x14ac:dyDescent="0.3">
      <c r="N161" t="str">
        <f t="shared" si="4"/>
        <v/>
      </c>
      <c r="O161" t="str">
        <f t="shared" si="5"/>
        <v/>
      </c>
    </row>
    <row r="162" spans="14:15" ht="33.6" customHeight="1" x14ac:dyDescent="0.3">
      <c r="N162" t="str">
        <f t="shared" si="4"/>
        <v/>
      </c>
      <c r="O162" t="str">
        <f t="shared" si="5"/>
        <v/>
      </c>
    </row>
    <row r="163" spans="14:15" ht="33.6" customHeight="1" x14ac:dyDescent="0.3">
      <c r="N163" t="str">
        <f t="shared" si="4"/>
        <v/>
      </c>
      <c r="O163" t="str">
        <f t="shared" si="5"/>
        <v/>
      </c>
    </row>
    <row r="164" spans="14:15" ht="33.6" customHeight="1" x14ac:dyDescent="0.3">
      <c r="N164" t="str">
        <f t="shared" si="4"/>
        <v/>
      </c>
      <c r="O164" t="str">
        <f t="shared" si="5"/>
        <v/>
      </c>
    </row>
    <row r="165" spans="14:15" ht="33.6" customHeight="1" x14ac:dyDescent="0.3">
      <c r="N165" t="str">
        <f t="shared" si="4"/>
        <v/>
      </c>
      <c r="O165" t="str">
        <f t="shared" si="5"/>
        <v/>
      </c>
    </row>
    <row r="166" spans="14:15" ht="33.6" customHeight="1" x14ac:dyDescent="0.3">
      <c r="N166" t="str">
        <f t="shared" si="4"/>
        <v/>
      </c>
      <c r="O166" t="str">
        <f t="shared" si="5"/>
        <v/>
      </c>
    </row>
    <row r="167" spans="14:15" ht="33.6" customHeight="1" x14ac:dyDescent="0.3">
      <c r="N167" t="str">
        <f t="shared" si="4"/>
        <v/>
      </c>
      <c r="O167" t="str">
        <f t="shared" si="5"/>
        <v/>
      </c>
    </row>
    <row r="168" spans="14:15" ht="33.6" customHeight="1" x14ac:dyDescent="0.3">
      <c r="N168" t="str">
        <f t="shared" si="4"/>
        <v/>
      </c>
      <c r="O168" t="str">
        <f t="shared" si="5"/>
        <v/>
      </c>
    </row>
    <row r="169" spans="14:15" ht="33.6" customHeight="1" x14ac:dyDescent="0.3">
      <c r="N169" t="str">
        <f t="shared" si="4"/>
        <v/>
      </c>
      <c r="O169" t="str">
        <f t="shared" si="5"/>
        <v/>
      </c>
    </row>
    <row r="170" spans="14:15" ht="33.6" customHeight="1" x14ac:dyDescent="0.3">
      <c r="N170" t="str">
        <f t="shared" si="4"/>
        <v/>
      </c>
      <c r="O170" t="str">
        <f t="shared" si="5"/>
        <v/>
      </c>
    </row>
    <row r="171" spans="14:15" ht="33.6" customHeight="1" x14ac:dyDescent="0.3">
      <c r="N171" t="str">
        <f t="shared" si="4"/>
        <v/>
      </c>
      <c r="O171" t="str">
        <f t="shared" si="5"/>
        <v/>
      </c>
    </row>
    <row r="172" spans="14:15" ht="33.6" customHeight="1" x14ac:dyDescent="0.3">
      <c r="N172" t="str">
        <f t="shared" si="4"/>
        <v/>
      </c>
      <c r="O172" t="str">
        <f t="shared" si="5"/>
        <v/>
      </c>
    </row>
    <row r="173" spans="14:15" ht="33.6" customHeight="1" x14ac:dyDescent="0.3">
      <c r="N173" t="str">
        <f t="shared" si="4"/>
        <v/>
      </c>
      <c r="O173" t="str">
        <f t="shared" si="5"/>
        <v/>
      </c>
    </row>
    <row r="174" spans="14:15" ht="33.6" customHeight="1" x14ac:dyDescent="0.3">
      <c r="N174" t="str">
        <f t="shared" si="4"/>
        <v/>
      </c>
      <c r="O174" t="str">
        <f t="shared" si="5"/>
        <v/>
      </c>
    </row>
    <row r="175" spans="14:15" ht="33.6" customHeight="1" x14ac:dyDescent="0.3">
      <c r="N175" t="str">
        <f t="shared" si="4"/>
        <v/>
      </c>
      <c r="O175" t="str">
        <f t="shared" si="5"/>
        <v/>
      </c>
    </row>
    <row r="176" spans="14:15" ht="33.6" customHeight="1" x14ac:dyDescent="0.3">
      <c r="N176" t="str">
        <f t="shared" si="4"/>
        <v/>
      </c>
      <c r="O176" t="str">
        <f t="shared" si="5"/>
        <v/>
      </c>
    </row>
    <row r="177" spans="14:15" ht="33.6" customHeight="1" x14ac:dyDescent="0.3">
      <c r="N177" t="str">
        <f t="shared" si="4"/>
        <v/>
      </c>
      <c r="O177" t="str">
        <f t="shared" si="5"/>
        <v/>
      </c>
    </row>
    <row r="178" spans="14:15" ht="33.6" customHeight="1" x14ac:dyDescent="0.3">
      <c r="N178" t="str">
        <f t="shared" si="4"/>
        <v/>
      </c>
      <c r="O178" t="str">
        <f t="shared" si="5"/>
        <v/>
      </c>
    </row>
    <row r="179" spans="14:15" ht="33.6" customHeight="1" x14ac:dyDescent="0.3">
      <c r="N179" t="str">
        <f t="shared" si="4"/>
        <v/>
      </c>
      <c r="O179" t="str">
        <f t="shared" si="5"/>
        <v/>
      </c>
    </row>
    <row r="180" spans="14:15" ht="33.6" customHeight="1" x14ac:dyDescent="0.3">
      <c r="N180" t="str">
        <f t="shared" si="4"/>
        <v/>
      </c>
      <c r="O180" t="str">
        <f t="shared" si="5"/>
        <v/>
      </c>
    </row>
    <row r="181" spans="14:15" ht="33.6" customHeight="1" x14ac:dyDescent="0.3">
      <c r="N181" t="str">
        <f t="shared" si="4"/>
        <v/>
      </c>
      <c r="O181" t="str">
        <f t="shared" si="5"/>
        <v/>
      </c>
    </row>
    <row r="182" spans="14:15" ht="33.6" customHeight="1" x14ac:dyDescent="0.3">
      <c r="N182" t="str">
        <f t="shared" si="4"/>
        <v/>
      </c>
      <c r="O182" t="str">
        <f t="shared" si="5"/>
        <v/>
      </c>
    </row>
    <row r="183" spans="14:15" ht="33.6" customHeight="1" x14ac:dyDescent="0.3">
      <c r="N183" t="str">
        <f t="shared" si="4"/>
        <v/>
      </c>
      <c r="O183" t="str">
        <f t="shared" si="5"/>
        <v/>
      </c>
    </row>
    <row r="184" spans="14:15" ht="33.6" customHeight="1" x14ac:dyDescent="0.3">
      <c r="N184" t="str">
        <f t="shared" si="4"/>
        <v/>
      </c>
      <c r="O184" t="str">
        <f t="shared" si="5"/>
        <v/>
      </c>
    </row>
    <row r="185" spans="14:15" ht="33.6" customHeight="1" x14ac:dyDescent="0.3">
      <c r="N185" t="str">
        <f t="shared" si="4"/>
        <v/>
      </c>
      <c r="O185" t="str">
        <f t="shared" si="5"/>
        <v/>
      </c>
    </row>
    <row r="186" spans="14:15" ht="33.6" customHeight="1" x14ac:dyDescent="0.3">
      <c r="N186" t="str">
        <f t="shared" si="4"/>
        <v/>
      </c>
      <c r="O186" t="str">
        <f t="shared" si="5"/>
        <v/>
      </c>
    </row>
    <row r="187" spans="14:15" ht="33.6" customHeight="1" x14ac:dyDescent="0.3">
      <c r="N187" t="str">
        <f t="shared" si="4"/>
        <v/>
      </c>
      <c r="O187" t="str">
        <f t="shared" si="5"/>
        <v/>
      </c>
    </row>
    <row r="188" spans="14:15" ht="33.6" customHeight="1" x14ac:dyDescent="0.3">
      <c r="N188" t="str">
        <f t="shared" si="4"/>
        <v/>
      </c>
      <c r="O188" t="str">
        <f t="shared" si="5"/>
        <v/>
      </c>
    </row>
    <row r="189" spans="14:15" ht="33.6" customHeight="1" x14ac:dyDescent="0.3">
      <c r="N189" t="str">
        <f t="shared" si="4"/>
        <v/>
      </c>
      <c r="O189" t="str">
        <f t="shared" si="5"/>
        <v/>
      </c>
    </row>
    <row r="190" spans="14:15" ht="33.6" customHeight="1" x14ac:dyDescent="0.3">
      <c r="N190" t="str">
        <f t="shared" si="4"/>
        <v/>
      </c>
      <c r="O190" t="str">
        <f t="shared" si="5"/>
        <v/>
      </c>
    </row>
    <row r="191" spans="14:15" ht="33.6" customHeight="1" x14ac:dyDescent="0.3">
      <c r="N191" t="str">
        <f t="shared" si="4"/>
        <v/>
      </c>
      <c r="O191" t="str">
        <f t="shared" si="5"/>
        <v/>
      </c>
    </row>
    <row r="192" spans="14:15" ht="33.6" customHeight="1" x14ac:dyDescent="0.3">
      <c r="N192" t="str">
        <f t="shared" si="4"/>
        <v/>
      </c>
      <c r="O192" t="str">
        <f t="shared" si="5"/>
        <v/>
      </c>
    </row>
    <row r="193" spans="14:15" ht="33.6" customHeight="1" x14ac:dyDescent="0.3">
      <c r="N193" t="str">
        <f t="shared" si="4"/>
        <v/>
      </c>
      <c r="O193" t="str">
        <f t="shared" si="5"/>
        <v/>
      </c>
    </row>
    <row r="194" spans="14:15" ht="33.6" customHeight="1" x14ac:dyDescent="0.3">
      <c r="N194" t="str">
        <f t="shared" si="4"/>
        <v/>
      </c>
      <c r="O194" t="str">
        <f t="shared" si="5"/>
        <v/>
      </c>
    </row>
    <row r="195" spans="14:15" ht="33.6" customHeight="1" x14ac:dyDescent="0.3">
      <c r="N195" t="str">
        <f t="shared" si="4"/>
        <v/>
      </c>
      <c r="O195" t="str">
        <f t="shared" si="5"/>
        <v/>
      </c>
    </row>
    <row r="196" spans="14:15" ht="33.6" customHeight="1" x14ac:dyDescent="0.3">
      <c r="N196" t="str">
        <f t="shared" ref="N196:N259" si="6">IF(COUNT(D196:M196)=0,"",SUM(D196:M196))</f>
        <v/>
      </c>
      <c r="O196" t="str">
        <f t="shared" ref="O196:O259" si="7">IF(N196="","",IF(N196&gt;=16,"Alta calidad",IF(N196&gt;=11,"Media calidad","Baja calidad")))</f>
        <v/>
      </c>
    </row>
    <row r="197" spans="14:15" ht="33.6" customHeight="1" x14ac:dyDescent="0.3">
      <c r="N197" t="str">
        <f t="shared" si="6"/>
        <v/>
      </c>
      <c r="O197" t="str">
        <f t="shared" si="7"/>
        <v/>
      </c>
    </row>
    <row r="198" spans="14:15" ht="33.6" customHeight="1" x14ac:dyDescent="0.3">
      <c r="N198" t="str">
        <f t="shared" si="6"/>
        <v/>
      </c>
      <c r="O198" t="str">
        <f t="shared" si="7"/>
        <v/>
      </c>
    </row>
    <row r="199" spans="14:15" ht="33.6" customHeight="1" x14ac:dyDescent="0.3">
      <c r="N199" t="str">
        <f t="shared" si="6"/>
        <v/>
      </c>
      <c r="O199" t="str">
        <f t="shared" si="7"/>
        <v/>
      </c>
    </row>
    <row r="200" spans="14:15" ht="33.6" customHeight="1" x14ac:dyDescent="0.3">
      <c r="N200" t="str">
        <f t="shared" si="6"/>
        <v/>
      </c>
      <c r="O200" t="str">
        <f t="shared" si="7"/>
        <v/>
      </c>
    </row>
    <row r="201" spans="14:15" ht="33.6" customHeight="1" x14ac:dyDescent="0.3">
      <c r="N201" t="str">
        <f t="shared" si="6"/>
        <v/>
      </c>
      <c r="O201" t="str">
        <f t="shared" si="7"/>
        <v/>
      </c>
    </row>
    <row r="202" spans="14:15" x14ac:dyDescent="0.3">
      <c r="N202" t="str">
        <f t="shared" si="6"/>
        <v/>
      </c>
      <c r="O202" t="str">
        <f t="shared" si="7"/>
        <v/>
      </c>
    </row>
    <row r="203" spans="14:15" x14ac:dyDescent="0.3">
      <c r="N203" t="str">
        <f t="shared" si="6"/>
        <v/>
      </c>
      <c r="O203" t="str">
        <f t="shared" si="7"/>
        <v/>
      </c>
    </row>
    <row r="204" spans="14:15" x14ac:dyDescent="0.3">
      <c r="N204" t="str">
        <f t="shared" si="6"/>
        <v/>
      </c>
      <c r="O204" t="str">
        <f t="shared" si="7"/>
        <v/>
      </c>
    </row>
    <row r="205" spans="14:15" x14ac:dyDescent="0.3">
      <c r="N205" t="str">
        <f t="shared" si="6"/>
        <v/>
      </c>
      <c r="O205" t="str">
        <f t="shared" si="7"/>
        <v/>
      </c>
    </row>
    <row r="206" spans="14:15" x14ac:dyDescent="0.3">
      <c r="N206" t="str">
        <f t="shared" si="6"/>
        <v/>
      </c>
      <c r="O206" t="str">
        <f t="shared" si="7"/>
        <v/>
      </c>
    </row>
    <row r="207" spans="14:15" x14ac:dyDescent="0.3">
      <c r="N207" t="str">
        <f t="shared" si="6"/>
        <v/>
      </c>
      <c r="O207" t="str">
        <f t="shared" si="7"/>
        <v/>
      </c>
    </row>
    <row r="208" spans="14:15" x14ac:dyDescent="0.3">
      <c r="N208" t="str">
        <f t="shared" si="6"/>
        <v/>
      </c>
      <c r="O208" t="str">
        <f t="shared" si="7"/>
        <v/>
      </c>
    </row>
    <row r="209" spans="14:15" x14ac:dyDescent="0.3">
      <c r="N209" t="str">
        <f t="shared" si="6"/>
        <v/>
      </c>
      <c r="O209" t="str">
        <f t="shared" si="7"/>
        <v/>
      </c>
    </row>
    <row r="210" spans="14:15" x14ac:dyDescent="0.3">
      <c r="N210" t="str">
        <f t="shared" si="6"/>
        <v/>
      </c>
      <c r="O210" t="str">
        <f t="shared" si="7"/>
        <v/>
      </c>
    </row>
    <row r="211" spans="14:15" x14ac:dyDescent="0.3">
      <c r="N211" t="str">
        <f t="shared" si="6"/>
        <v/>
      </c>
      <c r="O211" t="str">
        <f t="shared" si="7"/>
        <v/>
      </c>
    </row>
    <row r="212" spans="14:15" x14ac:dyDescent="0.3">
      <c r="N212" t="str">
        <f t="shared" si="6"/>
        <v/>
      </c>
      <c r="O212" t="str">
        <f t="shared" si="7"/>
        <v/>
      </c>
    </row>
    <row r="213" spans="14:15" x14ac:dyDescent="0.3">
      <c r="N213" t="str">
        <f t="shared" si="6"/>
        <v/>
      </c>
      <c r="O213" t="str">
        <f t="shared" si="7"/>
        <v/>
      </c>
    </row>
    <row r="214" spans="14:15" x14ac:dyDescent="0.3">
      <c r="N214" t="str">
        <f t="shared" si="6"/>
        <v/>
      </c>
      <c r="O214" t="str">
        <f t="shared" si="7"/>
        <v/>
      </c>
    </row>
    <row r="215" spans="14:15" x14ac:dyDescent="0.3">
      <c r="N215" t="str">
        <f t="shared" si="6"/>
        <v/>
      </c>
      <c r="O215" t="str">
        <f t="shared" si="7"/>
        <v/>
      </c>
    </row>
    <row r="216" spans="14:15" x14ac:dyDescent="0.3">
      <c r="N216" t="str">
        <f t="shared" si="6"/>
        <v/>
      </c>
      <c r="O216" t="str">
        <f t="shared" si="7"/>
        <v/>
      </c>
    </row>
    <row r="217" spans="14:15" x14ac:dyDescent="0.3">
      <c r="N217" t="str">
        <f t="shared" si="6"/>
        <v/>
      </c>
      <c r="O217" t="str">
        <f t="shared" si="7"/>
        <v/>
      </c>
    </row>
    <row r="218" spans="14:15" x14ac:dyDescent="0.3">
      <c r="N218" t="str">
        <f t="shared" si="6"/>
        <v/>
      </c>
      <c r="O218" t="str">
        <f t="shared" si="7"/>
        <v/>
      </c>
    </row>
    <row r="219" spans="14:15" x14ac:dyDescent="0.3">
      <c r="N219" t="str">
        <f t="shared" si="6"/>
        <v/>
      </c>
      <c r="O219" t="str">
        <f t="shared" si="7"/>
        <v/>
      </c>
    </row>
    <row r="220" spans="14:15" x14ac:dyDescent="0.3">
      <c r="N220" t="str">
        <f t="shared" si="6"/>
        <v/>
      </c>
      <c r="O220" t="str">
        <f t="shared" si="7"/>
        <v/>
      </c>
    </row>
    <row r="221" spans="14:15" x14ac:dyDescent="0.3">
      <c r="N221" t="str">
        <f t="shared" si="6"/>
        <v/>
      </c>
      <c r="O221" t="str">
        <f t="shared" si="7"/>
        <v/>
      </c>
    </row>
    <row r="222" spans="14:15" x14ac:dyDescent="0.3">
      <c r="N222" t="str">
        <f t="shared" si="6"/>
        <v/>
      </c>
      <c r="O222" t="str">
        <f t="shared" si="7"/>
        <v/>
      </c>
    </row>
    <row r="223" spans="14:15" x14ac:dyDescent="0.3">
      <c r="N223" t="str">
        <f t="shared" si="6"/>
        <v/>
      </c>
      <c r="O223" t="str">
        <f t="shared" si="7"/>
        <v/>
      </c>
    </row>
    <row r="224" spans="14:15" x14ac:dyDescent="0.3">
      <c r="N224" t="str">
        <f t="shared" si="6"/>
        <v/>
      </c>
      <c r="O224" t="str">
        <f t="shared" si="7"/>
        <v/>
      </c>
    </row>
    <row r="225" spans="14:15" x14ac:dyDescent="0.3">
      <c r="N225" t="str">
        <f t="shared" si="6"/>
        <v/>
      </c>
      <c r="O225" t="str">
        <f t="shared" si="7"/>
        <v/>
      </c>
    </row>
    <row r="226" spans="14:15" x14ac:dyDescent="0.3">
      <c r="N226" t="str">
        <f t="shared" si="6"/>
        <v/>
      </c>
      <c r="O226" t="str">
        <f t="shared" si="7"/>
        <v/>
      </c>
    </row>
    <row r="227" spans="14:15" x14ac:dyDescent="0.3">
      <c r="N227" t="str">
        <f t="shared" si="6"/>
        <v/>
      </c>
      <c r="O227" t="str">
        <f t="shared" si="7"/>
        <v/>
      </c>
    </row>
    <row r="228" spans="14:15" x14ac:dyDescent="0.3">
      <c r="N228" t="str">
        <f t="shared" si="6"/>
        <v/>
      </c>
      <c r="O228" t="str">
        <f t="shared" si="7"/>
        <v/>
      </c>
    </row>
    <row r="229" spans="14:15" x14ac:dyDescent="0.3">
      <c r="N229" t="str">
        <f t="shared" si="6"/>
        <v/>
      </c>
      <c r="O229" t="str">
        <f t="shared" si="7"/>
        <v/>
      </c>
    </row>
    <row r="230" spans="14:15" x14ac:dyDescent="0.3">
      <c r="N230" t="str">
        <f t="shared" si="6"/>
        <v/>
      </c>
      <c r="O230" t="str">
        <f t="shared" si="7"/>
        <v/>
      </c>
    </row>
    <row r="231" spans="14:15" x14ac:dyDescent="0.3">
      <c r="N231" t="str">
        <f t="shared" si="6"/>
        <v/>
      </c>
      <c r="O231" t="str">
        <f t="shared" si="7"/>
        <v/>
      </c>
    </row>
    <row r="232" spans="14:15" x14ac:dyDescent="0.3">
      <c r="N232" t="str">
        <f t="shared" si="6"/>
        <v/>
      </c>
      <c r="O232" t="str">
        <f t="shared" si="7"/>
        <v/>
      </c>
    </row>
    <row r="233" spans="14:15" x14ac:dyDescent="0.3">
      <c r="N233" t="str">
        <f t="shared" si="6"/>
        <v/>
      </c>
      <c r="O233" t="str">
        <f t="shared" si="7"/>
        <v/>
      </c>
    </row>
    <row r="234" spans="14:15" x14ac:dyDescent="0.3">
      <c r="N234" t="str">
        <f t="shared" si="6"/>
        <v/>
      </c>
      <c r="O234" t="str">
        <f t="shared" si="7"/>
        <v/>
      </c>
    </row>
    <row r="235" spans="14:15" x14ac:dyDescent="0.3">
      <c r="N235" t="str">
        <f t="shared" si="6"/>
        <v/>
      </c>
      <c r="O235" t="str">
        <f t="shared" si="7"/>
        <v/>
      </c>
    </row>
    <row r="236" spans="14:15" x14ac:dyDescent="0.3">
      <c r="N236" t="str">
        <f t="shared" si="6"/>
        <v/>
      </c>
      <c r="O236" t="str">
        <f t="shared" si="7"/>
        <v/>
      </c>
    </row>
    <row r="237" spans="14:15" x14ac:dyDescent="0.3">
      <c r="N237" t="str">
        <f t="shared" si="6"/>
        <v/>
      </c>
      <c r="O237" t="str">
        <f t="shared" si="7"/>
        <v/>
      </c>
    </row>
    <row r="238" spans="14:15" x14ac:dyDescent="0.3">
      <c r="N238" t="str">
        <f t="shared" si="6"/>
        <v/>
      </c>
      <c r="O238" t="str">
        <f t="shared" si="7"/>
        <v/>
      </c>
    </row>
    <row r="239" spans="14:15" x14ac:dyDescent="0.3">
      <c r="N239" t="str">
        <f t="shared" si="6"/>
        <v/>
      </c>
      <c r="O239" t="str">
        <f t="shared" si="7"/>
        <v/>
      </c>
    </row>
    <row r="240" spans="14:15" x14ac:dyDescent="0.3">
      <c r="N240" t="str">
        <f t="shared" si="6"/>
        <v/>
      </c>
      <c r="O240" t="str">
        <f t="shared" si="7"/>
        <v/>
      </c>
    </row>
    <row r="241" spans="14:15" x14ac:dyDescent="0.3">
      <c r="N241" t="str">
        <f t="shared" si="6"/>
        <v/>
      </c>
      <c r="O241" t="str">
        <f t="shared" si="7"/>
        <v/>
      </c>
    </row>
    <row r="242" spans="14:15" x14ac:dyDescent="0.3">
      <c r="N242" t="str">
        <f t="shared" si="6"/>
        <v/>
      </c>
      <c r="O242" t="str">
        <f t="shared" si="7"/>
        <v/>
      </c>
    </row>
    <row r="243" spans="14:15" x14ac:dyDescent="0.3">
      <c r="N243" t="str">
        <f t="shared" si="6"/>
        <v/>
      </c>
      <c r="O243" t="str">
        <f t="shared" si="7"/>
        <v/>
      </c>
    </row>
    <row r="244" spans="14:15" x14ac:dyDescent="0.3">
      <c r="N244" t="str">
        <f t="shared" si="6"/>
        <v/>
      </c>
      <c r="O244" t="str">
        <f t="shared" si="7"/>
        <v/>
      </c>
    </row>
    <row r="245" spans="14:15" x14ac:dyDescent="0.3">
      <c r="N245" t="str">
        <f t="shared" si="6"/>
        <v/>
      </c>
      <c r="O245" t="str">
        <f t="shared" si="7"/>
        <v/>
      </c>
    </row>
    <row r="246" spans="14:15" x14ac:dyDescent="0.3">
      <c r="N246" t="str">
        <f t="shared" si="6"/>
        <v/>
      </c>
      <c r="O246" t="str">
        <f t="shared" si="7"/>
        <v/>
      </c>
    </row>
    <row r="247" spans="14:15" x14ac:dyDescent="0.3">
      <c r="N247" t="str">
        <f t="shared" si="6"/>
        <v/>
      </c>
      <c r="O247" t="str">
        <f t="shared" si="7"/>
        <v/>
      </c>
    </row>
    <row r="248" spans="14:15" x14ac:dyDescent="0.3">
      <c r="N248" t="str">
        <f t="shared" si="6"/>
        <v/>
      </c>
      <c r="O248" t="str">
        <f t="shared" si="7"/>
        <v/>
      </c>
    </row>
    <row r="249" spans="14:15" x14ac:dyDescent="0.3">
      <c r="N249" t="str">
        <f t="shared" si="6"/>
        <v/>
      </c>
      <c r="O249" t="str">
        <f t="shared" si="7"/>
        <v/>
      </c>
    </row>
    <row r="250" spans="14:15" x14ac:dyDescent="0.3">
      <c r="N250" t="str">
        <f t="shared" si="6"/>
        <v/>
      </c>
      <c r="O250" t="str">
        <f t="shared" si="7"/>
        <v/>
      </c>
    </row>
    <row r="251" spans="14:15" x14ac:dyDescent="0.3">
      <c r="N251" t="str">
        <f t="shared" si="6"/>
        <v/>
      </c>
      <c r="O251" t="str">
        <f t="shared" si="7"/>
        <v/>
      </c>
    </row>
    <row r="252" spans="14:15" x14ac:dyDescent="0.3">
      <c r="N252" t="str">
        <f t="shared" si="6"/>
        <v/>
      </c>
      <c r="O252" t="str">
        <f t="shared" si="7"/>
        <v/>
      </c>
    </row>
    <row r="253" spans="14:15" x14ac:dyDescent="0.3">
      <c r="N253" t="str">
        <f t="shared" si="6"/>
        <v/>
      </c>
      <c r="O253" t="str">
        <f t="shared" si="7"/>
        <v/>
      </c>
    </row>
    <row r="254" spans="14:15" x14ac:dyDescent="0.3">
      <c r="N254" t="str">
        <f t="shared" si="6"/>
        <v/>
      </c>
      <c r="O254" t="str">
        <f t="shared" si="7"/>
        <v/>
      </c>
    </row>
    <row r="255" spans="14:15" x14ac:dyDescent="0.3">
      <c r="N255" t="str">
        <f t="shared" si="6"/>
        <v/>
      </c>
      <c r="O255" t="str">
        <f t="shared" si="7"/>
        <v/>
      </c>
    </row>
    <row r="256" spans="14:15" x14ac:dyDescent="0.3">
      <c r="N256" t="str">
        <f t="shared" si="6"/>
        <v/>
      </c>
      <c r="O256" t="str">
        <f t="shared" si="7"/>
        <v/>
      </c>
    </row>
    <row r="257" spans="14:15" x14ac:dyDescent="0.3">
      <c r="N257" t="str">
        <f t="shared" si="6"/>
        <v/>
      </c>
      <c r="O257" t="str">
        <f t="shared" si="7"/>
        <v/>
      </c>
    </row>
    <row r="258" spans="14:15" x14ac:dyDescent="0.3">
      <c r="N258" t="str">
        <f t="shared" si="6"/>
        <v/>
      </c>
      <c r="O258" t="str">
        <f t="shared" si="7"/>
        <v/>
      </c>
    </row>
    <row r="259" spans="14:15" x14ac:dyDescent="0.3">
      <c r="N259" t="str">
        <f t="shared" si="6"/>
        <v/>
      </c>
      <c r="O259" t="str">
        <f t="shared" si="7"/>
        <v/>
      </c>
    </row>
    <row r="260" spans="14:15" x14ac:dyDescent="0.3">
      <c r="N260" t="str">
        <f t="shared" ref="N260:N303" si="8">IF(COUNT(D260:M260)=0,"",SUM(D260:M260))</f>
        <v/>
      </c>
      <c r="O260" t="str">
        <f t="shared" ref="O260:O303" si="9">IF(N260="","",IF(N260&gt;=16,"Alta calidad",IF(N260&gt;=11,"Media calidad","Baja calidad")))</f>
        <v/>
      </c>
    </row>
    <row r="261" spans="14:15" x14ac:dyDescent="0.3">
      <c r="N261" t="str">
        <f t="shared" si="8"/>
        <v/>
      </c>
      <c r="O261" t="str">
        <f t="shared" si="9"/>
        <v/>
      </c>
    </row>
    <row r="262" spans="14:15" x14ac:dyDescent="0.3">
      <c r="N262" t="str">
        <f t="shared" si="8"/>
        <v/>
      </c>
      <c r="O262" t="str">
        <f t="shared" si="9"/>
        <v/>
      </c>
    </row>
    <row r="263" spans="14:15" x14ac:dyDescent="0.3">
      <c r="N263" t="str">
        <f t="shared" si="8"/>
        <v/>
      </c>
      <c r="O263" t="str">
        <f t="shared" si="9"/>
        <v/>
      </c>
    </row>
    <row r="264" spans="14:15" x14ac:dyDescent="0.3">
      <c r="N264" t="str">
        <f t="shared" si="8"/>
        <v/>
      </c>
      <c r="O264" t="str">
        <f t="shared" si="9"/>
        <v/>
      </c>
    </row>
    <row r="265" spans="14:15" x14ac:dyDescent="0.3">
      <c r="N265" t="str">
        <f t="shared" si="8"/>
        <v/>
      </c>
      <c r="O265" t="str">
        <f t="shared" si="9"/>
        <v/>
      </c>
    </row>
    <row r="266" spans="14:15" x14ac:dyDescent="0.3">
      <c r="N266" t="str">
        <f t="shared" si="8"/>
        <v/>
      </c>
      <c r="O266" t="str">
        <f t="shared" si="9"/>
        <v/>
      </c>
    </row>
    <row r="267" spans="14:15" x14ac:dyDescent="0.3">
      <c r="N267" t="str">
        <f t="shared" si="8"/>
        <v/>
      </c>
      <c r="O267" t="str">
        <f t="shared" si="9"/>
        <v/>
      </c>
    </row>
    <row r="268" spans="14:15" x14ac:dyDescent="0.3">
      <c r="N268" t="str">
        <f t="shared" si="8"/>
        <v/>
      </c>
      <c r="O268" t="str">
        <f t="shared" si="9"/>
        <v/>
      </c>
    </row>
    <row r="269" spans="14:15" x14ac:dyDescent="0.3">
      <c r="N269" t="str">
        <f t="shared" si="8"/>
        <v/>
      </c>
      <c r="O269" t="str">
        <f t="shared" si="9"/>
        <v/>
      </c>
    </row>
    <row r="270" spans="14:15" x14ac:dyDescent="0.3">
      <c r="N270" t="str">
        <f t="shared" si="8"/>
        <v/>
      </c>
      <c r="O270" t="str">
        <f t="shared" si="9"/>
        <v/>
      </c>
    </row>
    <row r="271" spans="14:15" x14ac:dyDescent="0.3">
      <c r="N271" t="str">
        <f t="shared" si="8"/>
        <v/>
      </c>
      <c r="O271" t="str">
        <f t="shared" si="9"/>
        <v/>
      </c>
    </row>
    <row r="272" spans="14:15" x14ac:dyDescent="0.3">
      <c r="N272" t="str">
        <f t="shared" si="8"/>
        <v/>
      </c>
      <c r="O272" t="str">
        <f t="shared" si="9"/>
        <v/>
      </c>
    </row>
    <row r="273" spans="14:15" x14ac:dyDescent="0.3">
      <c r="N273" t="str">
        <f t="shared" si="8"/>
        <v/>
      </c>
      <c r="O273" t="str">
        <f t="shared" si="9"/>
        <v/>
      </c>
    </row>
    <row r="274" spans="14:15" x14ac:dyDescent="0.3">
      <c r="N274" t="str">
        <f t="shared" si="8"/>
        <v/>
      </c>
      <c r="O274" t="str">
        <f t="shared" si="9"/>
        <v/>
      </c>
    </row>
    <row r="275" spans="14:15" x14ac:dyDescent="0.3">
      <c r="N275" t="str">
        <f t="shared" si="8"/>
        <v/>
      </c>
      <c r="O275" t="str">
        <f t="shared" si="9"/>
        <v/>
      </c>
    </row>
    <row r="276" spans="14:15" x14ac:dyDescent="0.3">
      <c r="N276" t="str">
        <f t="shared" si="8"/>
        <v/>
      </c>
      <c r="O276" t="str">
        <f t="shared" si="9"/>
        <v/>
      </c>
    </row>
    <row r="277" spans="14:15" x14ac:dyDescent="0.3">
      <c r="N277" t="str">
        <f t="shared" si="8"/>
        <v/>
      </c>
      <c r="O277" t="str">
        <f t="shared" si="9"/>
        <v/>
      </c>
    </row>
    <row r="278" spans="14:15" x14ac:dyDescent="0.3">
      <c r="N278" t="str">
        <f t="shared" si="8"/>
        <v/>
      </c>
      <c r="O278" t="str">
        <f t="shared" si="9"/>
        <v/>
      </c>
    </row>
    <row r="279" spans="14:15" x14ac:dyDescent="0.3">
      <c r="N279" t="str">
        <f t="shared" si="8"/>
        <v/>
      </c>
      <c r="O279" t="str">
        <f t="shared" si="9"/>
        <v/>
      </c>
    </row>
    <row r="280" spans="14:15" x14ac:dyDescent="0.3">
      <c r="N280" t="str">
        <f t="shared" si="8"/>
        <v/>
      </c>
      <c r="O280" t="str">
        <f t="shared" si="9"/>
        <v/>
      </c>
    </row>
    <row r="281" spans="14:15" x14ac:dyDescent="0.3">
      <c r="N281" t="str">
        <f t="shared" si="8"/>
        <v/>
      </c>
      <c r="O281" t="str">
        <f t="shared" si="9"/>
        <v/>
      </c>
    </row>
    <row r="282" spans="14:15" x14ac:dyDescent="0.3">
      <c r="N282" t="str">
        <f t="shared" si="8"/>
        <v/>
      </c>
      <c r="O282" t="str">
        <f t="shared" si="9"/>
        <v/>
      </c>
    </row>
    <row r="283" spans="14:15" x14ac:dyDescent="0.3">
      <c r="N283" t="str">
        <f t="shared" si="8"/>
        <v/>
      </c>
      <c r="O283" t="str">
        <f t="shared" si="9"/>
        <v/>
      </c>
    </row>
    <row r="284" spans="14:15" x14ac:dyDescent="0.3">
      <c r="N284" t="str">
        <f t="shared" si="8"/>
        <v/>
      </c>
      <c r="O284" t="str">
        <f t="shared" si="9"/>
        <v/>
      </c>
    </row>
    <row r="285" spans="14:15" x14ac:dyDescent="0.3">
      <c r="N285" t="str">
        <f t="shared" si="8"/>
        <v/>
      </c>
      <c r="O285" t="str">
        <f t="shared" si="9"/>
        <v/>
      </c>
    </row>
    <row r="286" spans="14:15" x14ac:dyDescent="0.3">
      <c r="N286" t="str">
        <f t="shared" si="8"/>
        <v/>
      </c>
      <c r="O286" t="str">
        <f t="shared" si="9"/>
        <v/>
      </c>
    </row>
    <row r="287" spans="14:15" x14ac:dyDescent="0.3">
      <c r="N287" t="str">
        <f t="shared" si="8"/>
        <v/>
      </c>
      <c r="O287" t="str">
        <f t="shared" si="9"/>
        <v/>
      </c>
    </row>
    <row r="288" spans="14:15" x14ac:dyDescent="0.3">
      <c r="N288" t="str">
        <f t="shared" si="8"/>
        <v/>
      </c>
      <c r="O288" t="str">
        <f t="shared" si="9"/>
        <v/>
      </c>
    </row>
    <row r="289" spans="14:15" x14ac:dyDescent="0.3">
      <c r="N289" t="str">
        <f t="shared" si="8"/>
        <v/>
      </c>
      <c r="O289" t="str">
        <f t="shared" si="9"/>
        <v/>
      </c>
    </row>
    <row r="290" spans="14:15" x14ac:dyDescent="0.3">
      <c r="N290" t="str">
        <f t="shared" si="8"/>
        <v/>
      </c>
      <c r="O290" t="str">
        <f t="shared" si="9"/>
        <v/>
      </c>
    </row>
    <row r="291" spans="14:15" x14ac:dyDescent="0.3">
      <c r="N291" t="str">
        <f t="shared" si="8"/>
        <v/>
      </c>
      <c r="O291" t="str">
        <f t="shared" si="9"/>
        <v/>
      </c>
    </row>
    <row r="292" spans="14:15" x14ac:dyDescent="0.3">
      <c r="N292" t="str">
        <f t="shared" si="8"/>
        <v/>
      </c>
      <c r="O292" t="str">
        <f t="shared" si="9"/>
        <v/>
      </c>
    </row>
    <row r="293" spans="14:15" x14ac:dyDescent="0.3">
      <c r="N293" t="str">
        <f t="shared" si="8"/>
        <v/>
      </c>
      <c r="O293" t="str">
        <f t="shared" si="9"/>
        <v/>
      </c>
    </row>
    <row r="294" spans="14:15" x14ac:dyDescent="0.3">
      <c r="N294" t="str">
        <f t="shared" si="8"/>
        <v/>
      </c>
      <c r="O294" t="str">
        <f t="shared" si="9"/>
        <v/>
      </c>
    </row>
    <row r="295" spans="14:15" x14ac:dyDescent="0.3">
      <c r="N295" t="str">
        <f t="shared" si="8"/>
        <v/>
      </c>
      <c r="O295" t="str">
        <f t="shared" si="9"/>
        <v/>
      </c>
    </row>
    <row r="296" spans="14:15" x14ac:dyDescent="0.3">
      <c r="N296" t="str">
        <f t="shared" si="8"/>
        <v/>
      </c>
      <c r="O296" t="str">
        <f t="shared" si="9"/>
        <v/>
      </c>
    </row>
    <row r="297" spans="14:15" x14ac:dyDescent="0.3">
      <c r="N297" t="str">
        <f t="shared" si="8"/>
        <v/>
      </c>
      <c r="O297" t="str">
        <f t="shared" si="9"/>
        <v/>
      </c>
    </row>
    <row r="298" spans="14:15" x14ac:dyDescent="0.3">
      <c r="N298" t="str">
        <f t="shared" si="8"/>
        <v/>
      </c>
      <c r="O298" t="str">
        <f t="shared" si="9"/>
        <v/>
      </c>
    </row>
    <row r="299" spans="14:15" x14ac:dyDescent="0.3">
      <c r="N299" t="str">
        <f t="shared" si="8"/>
        <v/>
      </c>
      <c r="O299" t="str">
        <f t="shared" si="9"/>
        <v/>
      </c>
    </row>
    <row r="300" spans="14:15" x14ac:dyDescent="0.3">
      <c r="N300" t="str">
        <f t="shared" si="8"/>
        <v/>
      </c>
      <c r="O300" t="str">
        <f t="shared" si="9"/>
        <v/>
      </c>
    </row>
    <row r="301" spans="14:15" x14ac:dyDescent="0.3">
      <c r="N301" t="str">
        <f t="shared" si="8"/>
        <v/>
      </c>
      <c r="O301" t="str">
        <f t="shared" si="9"/>
        <v/>
      </c>
    </row>
    <row r="302" spans="14:15" x14ac:dyDescent="0.3">
      <c r="N302" t="str">
        <f t="shared" si="8"/>
        <v/>
      </c>
      <c r="O302" t="str">
        <f t="shared" si="9"/>
        <v/>
      </c>
    </row>
    <row r="303" spans="14:15" x14ac:dyDescent="0.3">
      <c r="N303" t="str">
        <f t="shared" si="8"/>
        <v/>
      </c>
      <c r="O303" t="str">
        <f t="shared" si="9"/>
        <v/>
      </c>
    </row>
  </sheetData>
  <autoFilter ref="A3:P201" xr:uid="{00000000-0009-0000-0000-000007000000}"/>
  <mergeCells count="37">
    <mergeCell ref="T39:U39"/>
    <mergeCell ref="T30:U30"/>
    <mergeCell ref="T24:U24"/>
    <mergeCell ref="T33:U33"/>
    <mergeCell ref="S12:T12"/>
    <mergeCell ref="T20:U20"/>
    <mergeCell ref="T32:U32"/>
    <mergeCell ref="T38:U38"/>
    <mergeCell ref="T35:U35"/>
    <mergeCell ref="S29:U29"/>
    <mergeCell ref="T26:U26"/>
    <mergeCell ref="T31:U31"/>
    <mergeCell ref="T34:U34"/>
    <mergeCell ref="T37:U37"/>
    <mergeCell ref="T28:U28"/>
    <mergeCell ref="T36:U36"/>
    <mergeCell ref="T25:U25"/>
    <mergeCell ref="S14:T14"/>
    <mergeCell ref="S13:T13"/>
    <mergeCell ref="T21:U21"/>
    <mergeCell ref="S10:T10"/>
    <mergeCell ref="T27:U27"/>
    <mergeCell ref="T3:U3"/>
    <mergeCell ref="S4:T4"/>
    <mergeCell ref="A2:P2"/>
    <mergeCell ref="A1:P1"/>
    <mergeCell ref="S6:T6"/>
    <mergeCell ref="T23:U23"/>
    <mergeCell ref="S9:T9"/>
    <mergeCell ref="T22:U22"/>
    <mergeCell ref="S5:T5"/>
    <mergeCell ref="T19:U19"/>
    <mergeCell ref="S18:U18"/>
    <mergeCell ref="S17:U17"/>
    <mergeCell ref="S8:T8"/>
    <mergeCell ref="S11:T11"/>
    <mergeCell ref="S7:T7"/>
  </mergeCells>
  <conditionalFormatting sqref="N4:N201">
    <cfRule type="cellIs" dxfId="2" priority="1" operator="greaterThanOrEqual">
      <formula>16</formula>
    </cfRule>
    <cfRule type="cellIs" dxfId="1" priority="2" operator="between">
      <formula>10</formula>
      <formula>15</formula>
    </cfRule>
    <cfRule type="cellIs" dxfId="0" priority="3" operator="lessThan">
      <formula>10</formula>
    </cfRule>
  </conditionalFormatting>
  <dataValidations count="1">
    <dataValidation type="list" allowBlank="1" sqref="D4:M303" xr:uid="{00000000-0002-0000-0700-000000000000}">
      <formula1>"0,1,2"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2"/>
  <sheetViews>
    <sheetView tabSelected="1" topLeftCell="T1" zoomScale="70" workbookViewId="0">
      <selection activeCell="AA19" sqref="AA19"/>
    </sheetView>
  </sheetViews>
  <sheetFormatPr baseColWidth="10" defaultColWidth="8.88671875" defaultRowHeight="14.4" x14ac:dyDescent="0.3"/>
  <cols>
    <col min="1" max="1" width="8" customWidth="1"/>
    <col min="2" max="2" width="16" customWidth="1"/>
    <col min="3" max="3" width="60" customWidth="1"/>
    <col min="4" max="4" width="10" customWidth="1"/>
    <col min="5" max="6" width="24" customWidth="1"/>
    <col min="7" max="7" width="15" customWidth="1"/>
    <col min="8" max="12" width="60" customWidth="1"/>
    <col min="13" max="13" width="56" customWidth="1"/>
    <col min="14" max="14" width="60" customWidth="1"/>
    <col min="15" max="15" width="35" customWidth="1"/>
    <col min="16" max="16" width="16" customWidth="1"/>
    <col min="17" max="17" width="34" customWidth="1"/>
    <col min="18" max="18" width="60" customWidth="1"/>
    <col min="19" max="24" width="22" customWidth="1"/>
    <col min="25" max="25" width="14" customWidth="1"/>
    <col min="27" max="27" width="44" customWidth="1"/>
    <col min="28" max="28" width="12" customWidth="1"/>
  </cols>
  <sheetData>
    <row r="1" spans="1:28" ht="17.55" customHeight="1" x14ac:dyDescent="0.3">
      <c r="A1" s="102" t="s">
        <v>25</v>
      </c>
      <c r="B1" s="103"/>
      <c r="C1" s="103"/>
      <c r="D1" s="103"/>
      <c r="E1" s="103"/>
      <c r="F1" s="103"/>
      <c r="G1" s="103"/>
      <c r="H1" s="103"/>
      <c r="I1" s="103"/>
      <c r="J1" s="103"/>
      <c r="K1" s="103"/>
      <c r="L1" s="103"/>
      <c r="M1" s="103"/>
      <c r="N1" s="103"/>
      <c r="O1" s="103"/>
      <c r="P1" s="103"/>
      <c r="Q1" s="103"/>
      <c r="R1" s="103"/>
      <c r="S1" s="103"/>
      <c r="T1" s="103"/>
      <c r="U1" s="103"/>
      <c r="V1" s="103"/>
      <c r="W1" s="103"/>
      <c r="X1" s="103"/>
    </row>
    <row r="2" spans="1:28" ht="28.8" customHeight="1" x14ac:dyDescent="0.3">
      <c r="A2" s="104" t="s">
        <v>1168</v>
      </c>
      <c r="B2" s="103"/>
      <c r="C2" s="103"/>
      <c r="D2" s="103"/>
      <c r="E2" s="103"/>
      <c r="F2" s="103"/>
      <c r="G2" s="103"/>
      <c r="H2" s="103"/>
      <c r="I2" s="103"/>
      <c r="J2" s="103"/>
      <c r="K2" s="103"/>
      <c r="L2" s="103"/>
      <c r="M2" s="103"/>
      <c r="N2" s="103"/>
      <c r="O2" s="103"/>
      <c r="P2" s="103"/>
      <c r="Q2" s="103"/>
      <c r="R2" s="103"/>
      <c r="S2" s="103"/>
      <c r="T2" s="103"/>
      <c r="U2" s="103"/>
      <c r="V2" s="103"/>
      <c r="W2" s="103"/>
      <c r="X2" s="103"/>
    </row>
    <row r="3" spans="1:28" ht="27.6" customHeight="1" x14ac:dyDescent="0.3">
      <c r="A3" s="24" t="s">
        <v>193</v>
      </c>
      <c r="B3" s="24" t="s">
        <v>115</v>
      </c>
      <c r="C3" s="24" t="s">
        <v>194</v>
      </c>
      <c r="D3" s="24" t="s">
        <v>196</v>
      </c>
      <c r="E3" s="24" t="s">
        <v>195</v>
      </c>
      <c r="F3" s="24" t="s">
        <v>197</v>
      </c>
      <c r="G3" s="24" t="s">
        <v>1169</v>
      </c>
      <c r="H3" s="24" t="s">
        <v>1170</v>
      </c>
      <c r="I3" s="24" t="s">
        <v>1171</v>
      </c>
      <c r="J3" s="24" t="s">
        <v>1172</v>
      </c>
      <c r="K3" s="24" t="s">
        <v>1173</v>
      </c>
      <c r="L3" s="24" t="s">
        <v>1174</v>
      </c>
      <c r="M3" s="24" t="s">
        <v>1175</v>
      </c>
      <c r="N3" s="24" t="s">
        <v>1176</v>
      </c>
      <c r="O3" s="24" t="s">
        <v>769</v>
      </c>
      <c r="P3" s="24" t="s">
        <v>1096</v>
      </c>
      <c r="Q3" s="24" t="s">
        <v>1177</v>
      </c>
      <c r="R3" s="24" t="s">
        <v>1178</v>
      </c>
      <c r="S3" s="24" t="s">
        <v>204</v>
      </c>
      <c r="T3" s="24" t="s">
        <v>1179</v>
      </c>
      <c r="U3" s="24" t="s">
        <v>1180</v>
      </c>
      <c r="V3" s="24" t="s">
        <v>1181</v>
      </c>
      <c r="W3" s="24" t="s">
        <v>1182</v>
      </c>
      <c r="X3" s="24" t="s">
        <v>1183</v>
      </c>
      <c r="Y3" s="24" t="s">
        <v>1184</v>
      </c>
      <c r="AA3" s="84" t="s">
        <v>1185</v>
      </c>
      <c r="AB3" s="85"/>
    </row>
    <row r="4" spans="1:28" ht="120" customHeight="1" x14ac:dyDescent="0.3">
      <c r="A4" s="22" t="s">
        <v>226</v>
      </c>
      <c r="B4" s="22" t="s">
        <v>124</v>
      </c>
      <c r="C4" s="22" t="s">
        <v>227</v>
      </c>
      <c r="D4" s="22">
        <v>2026</v>
      </c>
      <c r="E4" s="22" t="s">
        <v>228</v>
      </c>
      <c r="F4" s="22" t="s">
        <v>229</v>
      </c>
      <c r="G4" s="22" t="s">
        <v>1186</v>
      </c>
      <c r="H4" s="22" t="s">
        <v>1187</v>
      </c>
      <c r="I4" s="22" t="s">
        <v>1188</v>
      </c>
      <c r="J4" s="22" t="s">
        <v>786</v>
      </c>
      <c r="K4" s="22" t="s">
        <v>795</v>
      </c>
      <c r="L4" s="22" t="s">
        <v>1189</v>
      </c>
      <c r="M4" s="22" t="s">
        <v>1190</v>
      </c>
      <c r="N4" s="22" t="s">
        <v>1191</v>
      </c>
      <c r="O4" s="22" t="s">
        <v>799</v>
      </c>
      <c r="P4" s="22" t="str">
        <f>INDEX(Calidad_articulos!$O$4:$O$21,MATCH(A4,Calidad_articulos!$A$4:$A$21,0))</f>
        <v>Alta calidad</v>
      </c>
      <c r="Q4" s="22" t="str">
        <f t="shared" ref="Q4:Q21" si="0">IF(AND(OR(P4="Alta calidad",P4="Media calidad"),OR(O4="Alto",O4="Medio")),"Incluir","Reserva")</f>
        <v>Incluir</v>
      </c>
      <c r="R4" s="22" t="s">
        <v>1192</v>
      </c>
      <c r="S4" s="22" t="s">
        <v>216</v>
      </c>
      <c r="T4" s="22" t="s">
        <v>1193</v>
      </c>
      <c r="U4" s="22" t="s">
        <v>1193</v>
      </c>
      <c r="V4" s="22" t="s">
        <v>1193</v>
      </c>
      <c r="W4" s="22" t="s">
        <v>1193</v>
      </c>
      <c r="X4" s="22" t="s">
        <v>1193</v>
      </c>
      <c r="Y4" s="22" t="s">
        <v>1194</v>
      </c>
      <c r="AA4" s="86" t="s">
        <v>1195</v>
      </c>
      <c r="AB4" s="87">
        <f>COUNTA($A$4:$A$21)</f>
        <v>18</v>
      </c>
    </row>
    <row r="5" spans="1:28" ht="120" customHeight="1" x14ac:dyDescent="0.3">
      <c r="A5" s="22" t="s">
        <v>251</v>
      </c>
      <c r="B5" s="22" t="s">
        <v>124</v>
      </c>
      <c r="C5" s="22" t="s">
        <v>252</v>
      </c>
      <c r="D5" s="22">
        <v>2026</v>
      </c>
      <c r="E5" s="22" t="s">
        <v>253</v>
      </c>
      <c r="F5" s="22" t="s">
        <v>254</v>
      </c>
      <c r="G5" s="22" t="s">
        <v>1196</v>
      </c>
      <c r="H5" s="22" t="s">
        <v>1197</v>
      </c>
      <c r="I5" s="22" t="s">
        <v>1198</v>
      </c>
      <c r="J5" s="22" t="s">
        <v>786</v>
      </c>
      <c r="K5" s="22" t="s">
        <v>1199</v>
      </c>
      <c r="L5" s="22" t="s">
        <v>1200</v>
      </c>
      <c r="M5" s="22" t="s">
        <v>1201</v>
      </c>
      <c r="N5" s="22" t="s">
        <v>1202</v>
      </c>
      <c r="O5" s="22" t="s">
        <v>814</v>
      </c>
      <c r="P5" s="22" t="str">
        <f>INDEX(Calidad_articulos!$O$4:$O$21,MATCH(A5,Calidad_articulos!$A$4:$A$21,0))</f>
        <v>Alta calidad</v>
      </c>
      <c r="Q5" s="22" t="str">
        <f t="shared" si="0"/>
        <v>Incluir</v>
      </c>
      <c r="R5" s="22" t="s">
        <v>1203</v>
      </c>
      <c r="S5" s="22" t="s">
        <v>216</v>
      </c>
      <c r="T5" s="22" t="s">
        <v>1193</v>
      </c>
      <c r="U5" s="22" t="s">
        <v>1193</v>
      </c>
      <c r="V5" s="22" t="s">
        <v>1193</v>
      </c>
      <c r="W5" s="22" t="s">
        <v>1193</v>
      </c>
      <c r="X5" s="22" t="s">
        <v>1193</v>
      </c>
      <c r="Y5" s="22" t="s">
        <v>1204</v>
      </c>
      <c r="AA5" s="88" t="s">
        <v>1205</v>
      </c>
      <c r="AB5" s="88">
        <f>COUNTIF($Q$4:$Q$21,"Incluir")</f>
        <v>17</v>
      </c>
    </row>
    <row r="6" spans="1:28" ht="120" customHeight="1" x14ac:dyDescent="0.3">
      <c r="A6" s="22" t="s">
        <v>276</v>
      </c>
      <c r="B6" s="22" t="s">
        <v>124</v>
      </c>
      <c r="C6" s="22" t="s">
        <v>277</v>
      </c>
      <c r="D6" s="22">
        <v>2024</v>
      </c>
      <c r="E6" s="22" t="s">
        <v>278</v>
      </c>
      <c r="F6" s="22" t="s">
        <v>279</v>
      </c>
      <c r="G6" s="22" t="s">
        <v>1206</v>
      </c>
      <c r="H6" s="22" t="s">
        <v>1207</v>
      </c>
      <c r="I6" s="22" t="s">
        <v>1208</v>
      </c>
      <c r="J6" s="22" t="s">
        <v>776</v>
      </c>
      <c r="K6" s="22" t="s">
        <v>1209</v>
      </c>
      <c r="L6" s="22" t="s">
        <v>1210</v>
      </c>
      <c r="M6" s="22" t="s">
        <v>1211</v>
      </c>
      <c r="N6" s="22" t="s">
        <v>1212</v>
      </c>
      <c r="O6" s="22" t="s">
        <v>799</v>
      </c>
      <c r="P6" s="22" t="str">
        <f>INDEX(Calidad_articulos!$O$4:$O$21,MATCH(A6,Calidad_articulos!$A$4:$A$21,0))</f>
        <v>Alta calidad</v>
      </c>
      <c r="Q6" s="22" t="str">
        <f t="shared" si="0"/>
        <v>Incluir</v>
      </c>
      <c r="R6" s="22" t="s">
        <v>1213</v>
      </c>
      <c r="S6" s="22" t="s">
        <v>216</v>
      </c>
      <c r="T6" s="22" t="s">
        <v>1193</v>
      </c>
      <c r="U6" s="22" t="s">
        <v>1193</v>
      </c>
      <c r="V6" s="22" t="s">
        <v>1193</v>
      </c>
      <c r="W6" s="22" t="s">
        <v>1193</v>
      </c>
      <c r="X6" s="22" t="s">
        <v>1193</v>
      </c>
      <c r="Y6" s="22" t="s">
        <v>1214</v>
      </c>
      <c r="AA6" s="86" t="s">
        <v>1053</v>
      </c>
      <c r="AB6" s="87">
        <f>COUNTIFS($Q$4:$Q$21,"Incluir",$S$4:$S$21,"Fitopatológico")</f>
        <v>12</v>
      </c>
    </row>
    <row r="7" spans="1:28" ht="120" customHeight="1" x14ac:dyDescent="0.3">
      <c r="A7" s="22" t="s">
        <v>313</v>
      </c>
      <c r="B7" s="22" t="s">
        <v>124</v>
      </c>
      <c r="C7" s="22" t="s">
        <v>314</v>
      </c>
      <c r="D7" s="22">
        <v>2025</v>
      </c>
      <c r="E7" s="22" t="s">
        <v>315</v>
      </c>
      <c r="F7" s="22" t="s">
        <v>316</v>
      </c>
      <c r="G7" s="22" t="s">
        <v>1215</v>
      </c>
      <c r="H7" s="22" t="s">
        <v>1216</v>
      </c>
      <c r="I7" s="22" t="s">
        <v>1217</v>
      </c>
      <c r="J7" s="22" t="s">
        <v>776</v>
      </c>
      <c r="K7" s="22" t="s">
        <v>860</v>
      </c>
      <c r="L7" s="22" t="s">
        <v>1218</v>
      </c>
      <c r="M7" s="22" t="s">
        <v>1219</v>
      </c>
      <c r="N7" s="22" t="s">
        <v>1220</v>
      </c>
      <c r="O7" s="22" t="s">
        <v>799</v>
      </c>
      <c r="P7" s="22" t="str">
        <f>INDEX(Calidad_articulos!$O$4:$O$21,MATCH(A7,Calidad_articulos!$A$4:$A$21,0))</f>
        <v>Alta calidad</v>
      </c>
      <c r="Q7" s="22" t="str">
        <f t="shared" si="0"/>
        <v>Incluir</v>
      </c>
      <c r="R7" s="22" t="s">
        <v>1221</v>
      </c>
      <c r="S7" s="22" t="s">
        <v>216</v>
      </c>
      <c r="T7" s="22" t="s">
        <v>1193</v>
      </c>
      <c r="U7" s="22" t="s">
        <v>1193</v>
      </c>
      <c r="V7" s="22" t="s">
        <v>1193</v>
      </c>
      <c r="W7" s="22" t="s">
        <v>1193</v>
      </c>
      <c r="X7" s="22" t="s">
        <v>1193</v>
      </c>
      <c r="Y7" s="22" t="s">
        <v>1222</v>
      </c>
      <c r="AA7" s="86" t="s">
        <v>1056</v>
      </c>
      <c r="AB7" s="87">
        <f>COUNTIFS($Q$4:$Q$21,"Incluir",$S$4:$S$21,"Tecnológico")</f>
        <v>5</v>
      </c>
    </row>
    <row r="8" spans="1:28" ht="120" customHeight="1" x14ac:dyDescent="0.3">
      <c r="A8" s="22" t="s">
        <v>321</v>
      </c>
      <c r="B8" s="22" t="s">
        <v>124</v>
      </c>
      <c r="C8" s="22" t="s">
        <v>322</v>
      </c>
      <c r="D8" s="22">
        <v>2023</v>
      </c>
      <c r="E8" s="22" t="s">
        <v>323</v>
      </c>
      <c r="F8" s="22" t="s">
        <v>324</v>
      </c>
      <c r="G8" s="22" t="s">
        <v>1223</v>
      </c>
      <c r="H8" s="22" t="s">
        <v>1224</v>
      </c>
      <c r="I8" s="22" t="s">
        <v>1225</v>
      </c>
      <c r="J8" s="22" t="s">
        <v>866</v>
      </c>
      <c r="K8" s="22" t="s">
        <v>867</v>
      </c>
      <c r="L8" s="22" t="s">
        <v>1226</v>
      </c>
      <c r="M8" s="22" t="s">
        <v>1227</v>
      </c>
      <c r="N8" s="22" t="s">
        <v>1228</v>
      </c>
      <c r="O8" s="22" t="s">
        <v>799</v>
      </c>
      <c r="P8" s="22" t="str">
        <f>INDEX(Calidad_articulos!$O$4:$O$21,MATCH(A8,Calidad_articulos!$A$4:$A$21,0))</f>
        <v>Alta calidad</v>
      </c>
      <c r="Q8" s="22" t="str">
        <f t="shared" si="0"/>
        <v>Incluir</v>
      </c>
      <c r="R8" s="22" t="s">
        <v>1229</v>
      </c>
      <c r="S8" s="22" t="s">
        <v>216</v>
      </c>
      <c r="T8" s="22" t="s">
        <v>1193</v>
      </c>
      <c r="U8" s="22" t="s">
        <v>1193</v>
      </c>
      <c r="V8" s="22" t="s">
        <v>1193</v>
      </c>
      <c r="W8" s="22" t="s">
        <v>1193</v>
      </c>
      <c r="X8" s="22" t="s">
        <v>1193</v>
      </c>
      <c r="Y8" s="22" t="s">
        <v>1230</v>
      </c>
      <c r="AA8" s="88" t="s">
        <v>1231</v>
      </c>
      <c r="AB8" s="88">
        <f>COUNTIF($Q$4:$Q$21,"Reserva")</f>
        <v>1</v>
      </c>
    </row>
    <row r="9" spans="1:28" ht="120" customHeight="1" x14ac:dyDescent="0.3">
      <c r="A9" s="22" t="s">
        <v>329</v>
      </c>
      <c r="B9" s="22" t="s">
        <v>124</v>
      </c>
      <c r="C9" s="22" t="s">
        <v>330</v>
      </c>
      <c r="D9" s="22">
        <v>2026</v>
      </c>
      <c r="E9" s="22" t="s">
        <v>331</v>
      </c>
      <c r="F9" s="22" t="s">
        <v>332</v>
      </c>
      <c r="G9" s="22" t="s">
        <v>1223</v>
      </c>
      <c r="H9" s="22" t="s">
        <v>1232</v>
      </c>
      <c r="I9" s="22" t="s">
        <v>1233</v>
      </c>
      <c r="J9" s="22" t="s">
        <v>866</v>
      </c>
      <c r="K9" s="22" t="s">
        <v>1234</v>
      </c>
      <c r="L9" s="22" t="s">
        <v>1235</v>
      </c>
      <c r="M9" s="22" t="s">
        <v>1236</v>
      </c>
      <c r="N9" s="22" t="s">
        <v>1237</v>
      </c>
      <c r="O9" s="22" t="s">
        <v>799</v>
      </c>
      <c r="P9" s="22" t="str">
        <f>INDEX(Calidad_articulos!$O$4:$O$21,MATCH(A9,Calidad_articulos!$A$4:$A$21,0))</f>
        <v>Alta calidad</v>
      </c>
      <c r="Q9" s="22" t="str">
        <f t="shared" si="0"/>
        <v>Incluir</v>
      </c>
      <c r="R9" s="22" t="s">
        <v>1238</v>
      </c>
      <c r="S9" s="22" t="s">
        <v>216</v>
      </c>
      <c r="T9" s="22" t="s">
        <v>1193</v>
      </c>
      <c r="U9" s="22" t="s">
        <v>1193</v>
      </c>
      <c r="V9" s="22" t="s">
        <v>1193</v>
      </c>
      <c r="W9" s="22" t="s">
        <v>1193</v>
      </c>
      <c r="X9" s="22" t="s">
        <v>1193</v>
      </c>
      <c r="Y9" s="22" t="s">
        <v>1239</v>
      </c>
      <c r="AA9" s="86" t="s">
        <v>1240</v>
      </c>
      <c r="AB9" s="87">
        <f>COUNTIF($O$4:$O$21,"Alto")</f>
        <v>11</v>
      </c>
    </row>
    <row r="10" spans="1:28" ht="120" customHeight="1" x14ac:dyDescent="0.3">
      <c r="A10" s="22" t="s">
        <v>336</v>
      </c>
      <c r="B10" s="22" t="s">
        <v>124</v>
      </c>
      <c r="C10" s="22" t="s">
        <v>337</v>
      </c>
      <c r="D10" s="22">
        <v>2026</v>
      </c>
      <c r="E10" s="22" t="s">
        <v>338</v>
      </c>
      <c r="F10" s="22" t="s">
        <v>339</v>
      </c>
      <c r="G10" s="22" t="s">
        <v>1241</v>
      </c>
      <c r="H10" s="22" t="s">
        <v>1242</v>
      </c>
      <c r="I10" s="22" t="s">
        <v>1243</v>
      </c>
      <c r="J10" s="22" t="s">
        <v>879</v>
      </c>
      <c r="K10" s="22" t="s">
        <v>880</v>
      </c>
      <c r="L10" s="22" t="s">
        <v>1244</v>
      </c>
      <c r="M10" s="22" t="s">
        <v>1245</v>
      </c>
      <c r="N10" s="22" t="s">
        <v>1246</v>
      </c>
      <c r="O10" s="22" t="s">
        <v>780</v>
      </c>
      <c r="P10" s="22" t="str">
        <f>INDEX(Calidad_articulos!$O$4:$O$21,MATCH(A10,Calidad_articulos!$A$4:$A$21,0))</f>
        <v>Media calidad</v>
      </c>
      <c r="Q10" s="22" t="str">
        <f t="shared" si="0"/>
        <v>Reserva</v>
      </c>
      <c r="R10" s="22" t="s">
        <v>1247</v>
      </c>
      <c r="S10" s="22" t="s">
        <v>216</v>
      </c>
      <c r="T10" s="22" t="s">
        <v>1193</v>
      </c>
      <c r="U10" s="22" t="s">
        <v>1193</v>
      </c>
      <c r="V10" s="22" t="s">
        <v>1193</v>
      </c>
      <c r="W10" s="22" t="s">
        <v>1193</v>
      </c>
      <c r="X10" s="22" t="s">
        <v>1193</v>
      </c>
      <c r="Y10" s="22" t="s">
        <v>1248</v>
      </c>
      <c r="AA10" s="86" t="s">
        <v>1249</v>
      </c>
      <c r="AB10" s="87">
        <f>COUNTIF($O$4:$O$21,"Medio")</f>
        <v>6</v>
      </c>
    </row>
    <row r="11" spans="1:28" ht="120" customHeight="1" x14ac:dyDescent="0.3">
      <c r="A11" s="22" t="s">
        <v>345</v>
      </c>
      <c r="B11" s="22" t="s">
        <v>124</v>
      </c>
      <c r="C11" s="22" t="s">
        <v>346</v>
      </c>
      <c r="D11" s="22">
        <v>2026</v>
      </c>
      <c r="E11" s="22" t="s">
        <v>347</v>
      </c>
      <c r="F11" s="22" t="s">
        <v>348</v>
      </c>
      <c r="G11" s="22" t="s">
        <v>1250</v>
      </c>
      <c r="H11" s="22" t="s">
        <v>1251</v>
      </c>
      <c r="I11" s="22" t="s">
        <v>1252</v>
      </c>
      <c r="J11" s="22" t="s">
        <v>776</v>
      </c>
      <c r="K11" s="22" t="s">
        <v>1253</v>
      </c>
      <c r="L11" s="22" t="s">
        <v>1254</v>
      </c>
      <c r="M11" s="22" t="s">
        <v>1255</v>
      </c>
      <c r="N11" s="22" t="s">
        <v>1256</v>
      </c>
      <c r="O11" s="22" t="s">
        <v>799</v>
      </c>
      <c r="P11" s="22" t="str">
        <f>INDEX(Calidad_articulos!$O$4:$O$21,MATCH(A11,Calidad_articulos!$A$4:$A$21,0))</f>
        <v>Alta calidad</v>
      </c>
      <c r="Q11" s="22" t="str">
        <f t="shared" si="0"/>
        <v>Incluir</v>
      </c>
      <c r="R11" s="22" t="s">
        <v>1257</v>
      </c>
      <c r="S11" s="22" t="s">
        <v>216</v>
      </c>
      <c r="T11" s="22" t="s">
        <v>1193</v>
      </c>
      <c r="U11" s="22" t="s">
        <v>1193</v>
      </c>
      <c r="V11" s="22" t="s">
        <v>1193</v>
      </c>
      <c r="W11" s="22" t="s">
        <v>1193</v>
      </c>
      <c r="X11" s="22" t="s">
        <v>1193</v>
      </c>
      <c r="Y11" s="22" t="s">
        <v>1258</v>
      </c>
      <c r="AA11" s="86" t="s">
        <v>1259</v>
      </c>
      <c r="AB11" s="87">
        <f>COUNTIF($O$4:$O$21,"Bajo")</f>
        <v>1</v>
      </c>
    </row>
    <row r="12" spans="1:28" ht="120" customHeight="1" x14ac:dyDescent="0.3">
      <c r="A12" s="22" t="s">
        <v>373</v>
      </c>
      <c r="B12" s="22" t="s">
        <v>124</v>
      </c>
      <c r="C12" s="22" t="s">
        <v>374</v>
      </c>
      <c r="D12" s="22">
        <v>2019</v>
      </c>
      <c r="E12" s="22" t="s">
        <v>375</v>
      </c>
      <c r="F12" s="22" t="s">
        <v>376</v>
      </c>
      <c r="G12" s="22" t="s">
        <v>1223</v>
      </c>
      <c r="H12" s="22" t="s">
        <v>1260</v>
      </c>
      <c r="I12" s="22" t="s">
        <v>1261</v>
      </c>
      <c r="J12" s="22" t="s">
        <v>776</v>
      </c>
      <c r="K12" s="22" t="s">
        <v>898</v>
      </c>
      <c r="L12" s="22" t="s">
        <v>1262</v>
      </c>
      <c r="M12" s="22" t="s">
        <v>1263</v>
      </c>
      <c r="N12" s="22" t="s">
        <v>1264</v>
      </c>
      <c r="O12" s="22" t="s">
        <v>799</v>
      </c>
      <c r="P12" s="22" t="str">
        <f>INDEX(Calidad_articulos!$O$4:$O$21,MATCH(A12,Calidad_articulos!$A$4:$A$21,0))</f>
        <v>Alta calidad</v>
      </c>
      <c r="Q12" s="22" t="str">
        <f t="shared" si="0"/>
        <v>Incluir</v>
      </c>
      <c r="R12" s="22" t="s">
        <v>1265</v>
      </c>
      <c r="S12" s="22" t="s">
        <v>216</v>
      </c>
      <c r="T12" s="22" t="s">
        <v>1193</v>
      </c>
      <c r="U12" s="22" t="s">
        <v>1193</v>
      </c>
      <c r="V12" s="22" t="s">
        <v>1193</v>
      </c>
      <c r="W12" s="22" t="s">
        <v>1193</v>
      </c>
      <c r="X12" s="22" t="s">
        <v>1193</v>
      </c>
      <c r="Y12" s="22" t="s">
        <v>1266</v>
      </c>
      <c r="AA12" s="86" t="s">
        <v>1267</v>
      </c>
      <c r="AB12" s="101" t="str">
        <f>IF(AB5+AB8=AB4,"Correcto","Revisar")</f>
        <v>Correcto</v>
      </c>
    </row>
    <row r="13" spans="1:28" ht="120" customHeight="1" x14ac:dyDescent="0.3">
      <c r="A13" s="22" t="s">
        <v>386</v>
      </c>
      <c r="B13" s="22" t="s">
        <v>124</v>
      </c>
      <c r="C13" s="22" t="s">
        <v>387</v>
      </c>
      <c r="D13" s="22">
        <v>2026</v>
      </c>
      <c r="E13" s="22" t="s">
        <v>388</v>
      </c>
      <c r="F13" s="22" t="s">
        <v>389</v>
      </c>
      <c r="G13" s="22" t="s">
        <v>1268</v>
      </c>
      <c r="H13" s="22" t="s">
        <v>1269</v>
      </c>
      <c r="I13" s="22" t="s">
        <v>1270</v>
      </c>
      <c r="J13" s="22" t="s">
        <v>866</v>
      </c>
      <c r="K13" s="22" t="s">
        <v>1271</v>
      </c>
      <c r="L13" s="22" t="s">
        <v>1272</v>
      </c>
      <c r="M13" s="22" t="s">
        <v>1273</v>
      </c>
      <c r="N13" s="22" t="s">
        <v>1274</v>
      </c>
      <c r="O13" s="22" t="s">
        <v>814</v>
      </c>
      <c r="P13" s="22" t="str">
        <f>INDEX(Calidad_articulos!$O$4:$O$21,MATCH(A13,Calidad_articulos!$A$4:$A$21,0))</f>
        <v>Alta calidad</v>
      </c>
      <c r="Q13" s="22" t="str">
        <f t="shared" si="0"/>
        <v>Incluir</v>
      </c>
      <c r="R13" s="22" t="s">
        <v>1275</v>
      </c>
      <c r="S13" s="22" t="s">
        <v>216</v>
      </c>
      <c r="T13" s="22" t="s">
        <v>1193</v>
      </c>
      <c r="U13" s="22" t="s">
        <v>1193</v>
      </c>
      <c r="V13" s="22" t="s">
        <v>1193</v>
      </c>
      <c r="W13" s="22" t="s">
        <v>1193</v>
      </c>
      <c r="X13" s="22" t="s">
        <v>1193</v>
      </c>
      <c r="Y13" s="22" t="s">
        <v>1266</v>
      </c>
    </row>
    <row r="14" spans="1:28" ht="120" customHeight="1" x14ac:dyDescent="0.3">
      <c r="A14" s="22" t="s">
        <v>392</v>
      </c>
      <c r="B14" s="22" t="s">
        <v>124</v>
      </c>
      <c r="C14" s="22" t="s">
        <v>393</v>
      </c>
      <c r="D14" s="22">
        <v>2025</v>
      </c>
      <c r="E14" s="22" t="s">
        <v>394</v>
      </c>
      <c r="F14" s="22" t="s">
        <v>395</v>
      </c>
      <c r="G14" s="22" t="s">
        <v>1276</v>
      </c>
      <c r="H14" s="22" t="s">
        <v>1277</v>
      </c>
      <c r="I14" s="22" t="s">
        <v>1278</v>
      </c>
      <c r="J14" s="22" t="s">
        <v>819</v>
      </c>
      <c r="K14" s="22" t="s">
        <v>1279</v>
      </c>
      <c r="L14" s="22" t="s">
        <v>1280</v>
      </c>
      <c r="M14" s="22" t="s">
        <v>1281</v>
      </c>
      <c r="N14" s="22" t="s">
        <v>1282</v>
      </c>
      <c r="O14" s="22" t="s">
        <v>799</v>
      </c>
      <c r="P14" s="22" t="str">
        <f>INDEX(Calidad_articulos!$O$4:$O$21,MATCH(A14,Calidad_articulos!$A$4:$A$21,0))</f>
        <v>Alta calidad</v>
      </c>
      <c r="Q14" s="22" t="str">
        <f t="shared" si="0"/>
        <v>Incluir</v>
      </c>
      <c r="R14" s="22" t="s">
        <v>1283</v>
      </c>
      <c r="S14" s="22" t="s">
        <v>216</v>
      </c>
      <c r="T14" s="22" t="s">
        <v>1193</v>
      </c>
      <c r="U14" s="22" t="s">
        <v>1193</v>
      </c>
      <c r="V14" s="22" t="s">
        <v>1193</v>
      </c>
      <c r="W14" s="22" t="s">
        <v>1193</v>
      </c>
      <c r="X14" s="22" t="s">
        <v>1193</v>
      </c>
      <c r="Y14" s="22" t="s">
        <v>1284</v>
      </c>
    </row>
    <row r="15" spans="1:28" ht="120" customHeight="1" x14ac:dyDescent="0.3">
      <c r="A15" s="22" t="s">
        <v>434</v>
      </c>
      <c r="B15" s="22" t="s">
        <v>124</v>
      </c>
      <c r="C15" s="22" t="s">
        <v>435</v>
      </c>
      <c r="D15" s="22">
        <v>2021</v>
      </c>
      <c r="E15" s="22" t="s">
        <v>436</v>
      </c>
      <c r="F15" s="22" t="s">
        <v>437</v>
      </c>
      <c r="G15" s="22" t="s">
        <v>1285</v>
      </c>
      <c r="H15" s="22" t="s">
        <v>1286</v>
      </c>
      <c r="I15" s="22" t="s">
        <v>1287</v>
      </c>
      <c r="J15" s="22" t="s">
        <v>776</v>
      </c>
      <c r="K15" s="22" t="s">
        <v>1288</v>
      </c>
      <c r="L15" s="22" t="s">
        <v>1289</v>
      </c>
      <c r="M15" s="22" t="s">
        <v>1290</v>
      </c>
      <c r="N15" s="22" t="s">
        <v>1291</v>
      </c>
      <c r="O15" s="22" t="s">
        <v>814</v>
      </c>
      <c r="P15" s="22" t="str">
        <f>INDEX(Calidad_articulos!$O$4:$O$21,MATCH(A15,Calidad_articulos!$A$4:$A$21,0))</f>
        <v>Alta calidad</v>
      </c>
      <c r="Q15" s="22" t="str">
        <f t="shared" si="0"/>
        <v>Incluir</v>
      </c>
      <c r="R15" s="22" t="s">
        <v>1292</v>
      </c>
      <c r="S15" s="22" t="s">
        <v>216</v>
      </c>
      <c r="T15" s="22" t="s">
        <v>1193</v>
      </c>
      <c r="U15" s="22" t="s">
        <v>1193</v>
      </c>
      <c r="V15" s="22" t="s">
        <v>1193</v>
      </c>
      <c r="W15" s="22" t="s">
        <v>1193</v>
      </c>
      <c r="X15" s="22" t="s">
        <v>1193</v>
      </c>
      <c r="Y15" s="22" t="s">
        <v>1293</v>
      </c>
    </row>
    <row r="16" spans="1:28" ht="120" customHeight="1" x14ac:dyDescent="0.3">
      <c r="A16" s="22" t="s">
        <v>483</v>
      </c>
      <c r="B16" s="22" t="s">
        <v>124</v>
      </c>
      <c r="C16" s="22" t="s">
        <v>484</v>
      </c>
      <c r="D16" s="22">
        <v>2022</v>
      </c>
      <c r="E16" s="22" t="s">
        <v>485</v>
      </c>
      <c r="F16" s="22" t="s">
        <v>486</v>
      </c>
      <c r="G16" s="22" t="s">
        <v>1294</v>
      </c>
      <c r="H16" s="22" t="s">
        <v>1295</v>
      </c>
      <c r="I16" s="22" t="s">
        <v>1296</v>
      </c>
      <c r="J16" s="22" t="s">
        <v>866</v>
      </c>
      <c r="K16" s="22" t="s">
        <v>1297</v>
      </c>
      <c r="L16" s="22" t="s">
        <v>1298</v>
      </c>
      <c r="M16" s="22" t="s">
        <v>1299</v>
      </c>
      <c r="N16" s="22" t="s">
        <v>1300</v>
      </c>
      <c r="O16" s="22" t="s">
        <v>814</v>
      </c>
      <c r="P16" s="22" t="str">
        <f>INDEX(Calidad_articulos!$O$4:$O$21,MATCH(A16,Calidad_articulos!$A$4:$A$21,0))</f>
        <v>Alta calidad</v>
      </c>
      <c r="Q16" s="22" t="str">
        <f t="shared" si="0"/>
        <v>Incluir</v>
      </c>
      <c r="R16" s="22" t="s">
        <v>1301</v>
      </c>
      <c r="S16" s="22" t="s">
        <v>216</v>
      </c>
      <c r="T16" s="22" t="s">
        <v>1193</v>
      </c>
      <c r="U16" s="22" t="s">
        <v>1193</v>
      </c>
      <c r="V16" s="22" t="s">
        <v>1193</v>
      </c>
      <c r="W16" s="22" t="s">
        <v>1193</v>
      </c>
      <c r="X16" s="22" t="s">
        <v>1193</v>
      </c>
      <c r="Y16" s="22" t="s">
        <v>1302</v>
      </c>
    </row>
    <row r="17" spans="1:25" ht="120" customHeight="1" x14ac:dyDescent="0.3">
      <c r="A17" s="22" t="s">
        <v>564</v>
      </c>
      <c r="B17" s="22" t="s">
        <v>124</v>
      </c>
      <c r="C17" s="22" t="s">
        <v>565</v>
      </c>
      <c r="D17" s="22" t="s">
        <v>557</v>
      </c>
      <c r="E17" s="22" t="s">
        <v>566</v>
      </c>
      <c r="F17" s="22" t="s">
        <v>567</v>
      </c>
      <c r="G17" s="22" t="s">
        <v>1303</v>
      </c>
      <c r="H17" s="22" t="s">
        <v>1304</v>
      </c>
      <c r="I17" s="22" t="s">
        <v>1305</v>
      </c>
      <c r="J17" s="22" t="s">
        <v>973</v>
      </c>
      <c r="K17" s="22" t="s">
        <v>1193</v>
      </c>
      <c r="L17" s="22" t="s">
        <v>1306</v>
      </c>
      <c r="M17" s="22" t="s">
        <v>1193</v>
      </c>
      <c r="N17" s="22" t="s">
        <v>1307</v>
      </c>
      <c r="O17" s="22" t="s">
        <v>814</v>
      </c>
      <c r="P17" s="22" t="str">
        <f>INDEX(Calidad_articulos!$O$4:$O$21,MATCH(A17,Calidad_articulos!$A$4:$A$21,0))</f>
        <v>Alta calidad</v>
      </c>
      <c r="Q17" s="22" t="str">
        <f t="shared" si="0"/>
        <v>Incluir</v>
      </c>
      <c r="R17" s="22" t="s">
        <v>1308</v>
      </c>
      <c r="S17" s="22" t="s">
        <v>563</v>
      </c>
      <c r="T17" s="22" t="s">
        <v>1309</v>
      </c>
      <c r="U17" s="22" t="s">
        <v>1310</v>
      </c>
      <c r="V17" s="22" t="s">
        <v>1311</v>
      </c>
      <c r="W17" s="22" t="s">
        <v>1312</v>
      </c>
      <c r="X17" s="22" t="s">
        <v>1313</v>
      </c>
      <c r="Y17" s="22" t="s">
        <v>1314</v>
      </c>
    </row>
    <row r="18" spans="1:25" ht="120" customHeight="1" x14ac:dyDescent="0.3">
      <c r="A18" s="22" t="s">
        <v>622</v>
      </c>
      <c r="B18" s="22" t="s">
        <v>124</v>
      </c>
      <c r="C18" s="22" t="s">
        <v>623</v>
      </c>
      <c r="D18" s="22" t="s">
        <v>557</v>
      </c>
      <c r="E18" s="22" t="s">
        <v>624</v>
      </c>
      <c r="F18" s="22" t="s">
        <v>625</v>
      </c>
      <c r="G18" s="22" t="s">
        <v>1315</v>
      </c>
      <c r="H18" s="22" t="s">
        <v>1316</v>
      </c>
      <c r="I18" s="22" t="s">
        <v>1317</v>
      </c>
      <c r="J18" s="22" t="s">
        <v>973</v>
      </c>
      <c r="K18" s="22" t="s">
        <v>1193</v>
      </c>
      <c r="L18" s="22" t="s">
        <v>1318</v>
      </c>
      <c r="M18" s="22" t="s">
        <v>1193</v>
      </c>
      <c r="N18" s="22" t="s">
        <v>1319</v>
      </c>
      <c r="O18" s="22" t="s">
        <v>814</v>
      </c>
      <c r="P18" s="22" t="str">
        <f>INDEX(Calidad_articulos!$O$4:$O$21,MATCH(A18,Calidad_articulos!$A$4:$A$21,0))</f>
        <v>Alta calidad</v>
      </c>
      <c r="Q18" s="22" t="str">
        <f t="shared" si="0"/>
        <v>Incluir</v>
      </c>
      <c r="R18" s="22" t="s">
        <v>1320</v>
      </c>
      <c r="S18" s="22" t="s">
        <v>563</v>
      </c>
      <c r="T18" s="22" t="s">
        <v>1321</v>
      </c>
      <c r="U18" s="22" t="s">
        <v>1322</v>
      </c>
      <c r="V18" s="22" t="s">
        <v>1323</v>
      </c>
      <c r="W18" s="22" t="s">
        <v>1324</v>
      </c>
      <c r="X18" s="22" t="s">
        <v>1325</v>
      </c>
      <c r="Y18" s="22" t="s">
        <v>1326</v>
      </c>
    </row>
    <row r="19" spans="1:25" ht="120" customHeight="1" x14ac:dyDescent="0.3">
      <c r="A19" s="22" t="s">
        <v>631</v>
      </c>
      <c r="B19" s="22" t="s">
        <v>124</v>
      </c>
      <c r="C19" s="22" t="s">
        <v>632</v>
      </c>
      <c r="D19" s="22" t="s">
        <v>634</v>
      </c>
      <c r="E19" s="22" t="s">
        <v>633</v>
      </c>
      <c r="F19" s="22" t="s">
        <v>635</v>
      </c>
      <c r="G19" s="22" t="s">
        <v>1303</v>
      </c>
      <c r="H19" s="22" t="s">
        <v>1327</v>
      </c>
      <c r="I19" s="22" t="s">
        <v>1328</v>
      </c>
      <c r="J19" s="22" t="s">
        <v>973</v>
      </c>
      <c r="K19" s="22" t="s">
        <v>1193</v>
      </c>
      <c r="L19" s="22" t="s">
        <v>1329</v>
      </c>
      <c r="M19" s="22" t="s">
        <v>1193</v>
      </c>
      <c r="N19" s="22" t="s">
        <v>1330</v>
      </c>
      <c r="O19" s="22" t="s">
        <v>799</v>
      </c>
      <c r="P19" s="22" t="str">
        <f>INDEX(Calidad_articulos!$O$4:$O$21,MATCH(A19,Calidad_articulos!$A$4:$A$21,0))</f>
        <v>Alta calidad</v>
      </c>
      <c r="Q19" s="22" t="str">
        <f t="shared" si="0"/>
        <v>Incluir</v>
      </c>
      <c r="R19" s="22" t="s">
        <v>1331</v>
      </c>
      <c r="S19" s="22" t="s">
        <v>563</v>
      </c>
      <c r="T19" s="22" t="s">
        <v>1332</v>
      </c>
      <c r="U19" s="22" t="s">
        <v>1333</v>
      </c>
      <c r="V19" s="22" t="s">
        <v>1334</v>
      </c>
      <c r="W19" s="22" t="s">
        <v>1335</v>
      </c>
      <c r="X19" s="22" t="s">
        <v>1336</v>
      </c>
      <c r="Y19" s="22" t="s">
        <v>1337</v>
      </c>
    </row>
    <row r="20" spans="1:25" ht="120" customHeight="1" x14ac:dyDescent="0.3">
      <c r="A20" s="22" t="s">
        <v>640</v>
      </c>
      <c r="B20" s="22" t="s">
        <v>124</v>
      </c>
      <c r="C20" s="22" t="s">
        <v>641</v>
      </c>
      <c r="D20" s="22" t="s">
        <v>575</v>
      </c>
      <c r="E20" s="22" t="s">
        <v>642</v>
      </c>
      <c r="F20" s="22" t="s">
        <v>643</v>
      </c>
      <c r="G20" s="22" t="s">
        <v>1303</v>
      </c>
      <c r="H20" s="22" t="s">
        <v>1338</v>
      </c>
      <c r="I20" s="22" t="s">
        <v>1339</v>
      </c>
      <c r="J20" s="22" t="s">
        <v>973</v>
      </c>
      <c r="K20" s="22" t="s">
        <v>1193</v>
      </c>
      <c r="L20" s="22" t="s">
        <v>1340</v>
      </c>
      <c r="M20" s="22" t="s">
        <v>1193</v>
      </c>
      <c r="N20" s="22" t="s">
        <v>1341</v>
      </c>
      <c r="O20" s="22" t="s">
        <v>799</v>
      </c>
      <c r="P20" s="22" t="str">
        <f>INDEX(Calidad_articulos!$O$4:$O$21,MATCH(A20,Calidad_articulos!$A$4:$A$21,0))</f>
        <v>Alta calidad</v>
      </c>
      <c r="Q20" s="22" t="str">
        <f t="shared" si="0"/>
        <v>Incluir</v>
      </c>
      <c r="R20" s="22" t="s">
        <v>1342</v>
      </c>
      <c r="S20" s="22" t="s">
        <v>563</v>
      </c>
      <c r="T20" s="22" t="s">
        <v>1343</v>
      </c>
      <c r="U20" s="22" t="s">
        <v>1344</v>
      </c>
      <c r="V20" s="22" t="s">
        <v>1345</v>
      </c>
      <c r="W20" s="22" t="s">
        <v>1346</v>
      </c>
      <c r="X20" s="22" t="s">
        <v>1347</v>
      </c>
      <c r="Y20" s="22" t="s">
        <v>1348</v>
      </c>
    </row>
    <row r="21" spans="1:25" ht="120" customHeight="1" x14ac:dyDescent="0.3">
      <c r="A21" s="22" t="s">
        <v>655</v>
      </c>
      <c r="B21" s="22" t="s">
        <v>134</v>
      </c>
      <c r="C21" s="22" t="s">
        <v>656</v>
      </c>
      <c r="D21" s="22" t="s">
        <v>557</v>
      </c>
      <c r="E21" s="22" t="s">
        <v>657</v>
      </c>
      <c r="F21" s="22" t="s">
        <v>658</v>
      </c>
      <c r="G21" s="22" t="s">
        <v>1303</v>
      </c>
      <c r="H21" s="22" t="s">
        <v>1349</v>
      </c>
      <c r="I21" s="22" t="s">
        <v>1350</v>
      </c>
      <c r="J21" s="22" t="s">
        <v>973</v>
      </c>
      <c r="K21" s="22" t="s">
        <v>1193</v>
      </c>
      <c r="L21" s="22" t="s">
        <v>1329</v>
      </c>
      <c r="M21" s="22" t="s">
        <v>1193</v>
      </c>
      <c r="N21" s="22" t="s">
        <v>1351</v>
      </c>
      <c r="O21" s="22" t="s">
        <v>799</v>
      </c>
      <c r="P21" s="22" t="str">
        <f>INDEX(Calidad_articulos!$O$4:$O$21,MATCH(A21,Calidad_articulos!$A$4:$A$21,0))</f>
        <v>Alta calidad</v>
      </c>
      <c r="Q21" s="22" t="str">
        <f t="shared" si="0"/>
        <v>Incluir</v>
      </c>
      <c r="R21" s="22" t="s">
        <v>1352</v>
      </c>
      <c r="S21" s="22" t="s">
        <v>563</v>
      </c>
      <c r="T21" s="22" t="s">
        <v>1353</v>
      </c>
      <c r="U21" s="22" t="s">
        <v>1354</v>
      </c>
      <c r="V21" s="22" t="s">
        <v>1355</v>
      </c>
      <c r="W21" s="22" t="s">
        <v>1356</v>
      </c>
      <c r="X21" s="22" t="s">
        <v>1357</v>
      </c>
      <c r="Y21" s="22" t="s">
        <v>1358</v>
      </c>
    </row>
    <row r="22" spans="1:25" ht="33.6" customHeight="1" x14ac:dyDescent="0.3"/>
    <row r="23" spans="1:25" ht="33.6" customHeight="1" x14ac:dyDescent="0.3"/>
    <row r="24" spans="1:25" ht="33.6" customHeight="1" x14ac:dyDescent="0.3"/>
    <row r="25" spans="1:25" ht="33.6" customHeight="1" x14ac:dyDescent="0.3"/>
    <row r="26" spans="1:25" ht="33.6" customHeight="1" x14ac:dyDescent="0.3"/>
    <row r="27" spans="1:25" ht="33.6" customHeight="1" x14ac:dyDescent="0.3"/>
    <row r="28" spans="1:25" ht="33.6" customHeight="1" x14ac:dyDescent="0.3"/>
    <row r="29" spans="1:25" ht="33.6" customHeight="1" x14ac:dyDescent="0.3"/>
    <row r="30" spans="1:25" ht="33.6" customHeight="1" x14ac:dyDescent="0.3"/>
    <row r="31" spans="1:25" ht="33.6" customHeight="1" x14ac:dyDescent="0.3"/>
    <row r="32" spans="1:25" ht="33.6" customHeight="1" x14ac:dyDescent="0.3"/>
  </sheetData>
  <autoFilter ref="A3:R32" xr:uid="{00000000-0009-0000-0000-000008000000}"/>
  <mergeCells count="2">
    <mergeCell ref="A2:X2"/>
    <mergeCell ref="A1:X1"/>
  </mergeCells>
  <dataValidations count="5">
    <dataValidation type="list" allowBlank="1" sqref="O4:O300" xr:uid="{00000000-0002-0000-0800-000000000000}">
      <formula1>"Alto,Medio,Bajo"</formula1>
    </dataValidation>
    <dataValidation type="list" allowBlank="1" sqref="P4:P300" xr:uid="{00000000-0002-0000-0800-000001000000}">
      <formula1>"Alta calidad,Media calidad,Baja calidad"</formula1>
    </dataValidation>
    <dataValidation type="list" allowBlank="1" sqref="Q4:Q300" xr:uid="{00000000-0002-0000-0800-000002000000}">
      <formula1>"Incluir,Reserva"</formula1>
    </dataValidation>
    <dataValidation type="list" allowBlank="1" sqref="J4:J300" xr:uid="{00000000-0002-0000-0800-000003000000}">
      <formula1>"1. Phytophthora,2. Lasiodiplodia,3. Botryosphaeriaceae,4. Colletotrichum,5. Fusarium,6. Nectria,Varios,Otro/No aplica"</formula1>
    </dataValidation>
    <dataValidation type="list" allowBlank="1" sqref="S4:S300" xr:uid="{00000000-0002-0000-0800-000004000000}">
      <formula1>"Fitopatológico,Tecnológico"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6"/>
  <sheetViews>
    <sheetView zoomScale="66" workbookViewId="0">
      <selection sqref="A1:H1"/>
    </sheetView>
  </sheetViews>
  <sheetFormatPr baseColWidth="10" defaultRowHeight="14.4" x14ac:dyDescent="0.3"/>
  <cols>
    <col min="1" max="1" width="30" customWidth="1"/>
    <col min="2" max="2" width="40" customWidth="1"/>
    <col min="3" max="3" width="34" customWidth="1"/>
    <col min="4" max="4" width="26" customWidth="1"/>
    <col min="5" max="5" width="50" customWidth="1"/>
    <col min="6" max="6" width="44" customWidth="1"/>
    <col min="7" max="7" width="22" customWidth="1"/>
    <col min="8" max="8" width="16" customWidth="1"/>
  </cols>
  <sheetData>
    <row r="1" spans="1:8" ht="21" customHeight="1" thickBot="1" x14ac:dyDescent="0.35">
      <c r="A1" s="122" t="s">
        <v>1359</v>
      </c>
      <c r="B1" s="103"/>
      <c r="C1" s="103"/>
      <c r="D1" s="103"/>
      <c r="E1" s="103"/>
      <c r="F1" s="103"/>
      <c r="G1" s="103"/>
      <c r="H1" s="103"/>
    </row>
    <row r="2" spans="1:8" ht="30" customHeight="1" x14ac:dyDescent="0.3">
      <c r="A2" s="89" t="s">
        <v>1360</v>
      </c>
      <c r="B2" s="89" t="s">
        <v>1361</v>
      </c>
      <c r="C2" s="89" t="s">
        <v>1362</v>
      </c>
      <c r="D2" s="89" t="s">
        <v>1363</v>
      </c>
      <c r="E2" s="89" t="s">
        <v>1364</v>
      </c>
      <c r="F2" s="89" t="s">
        <v>1365</v>
      </c>
      <c r="G2" s="89" t="s">
        <v>1184</v>
      </c>
      <c r="H2" s="89" t="s">
        <v>1366</v>
      </c>
    </row>
    <row r="3" spans="1:8" ht="109.95" customHeight="1" x14ac:dyDescent="0.3">
      <c r="A3" s="90" t="s">
        <v>1367</v>
      </c>
      <c r="B3" s="91" t="s">
        <v>227</v>
      </c>
      <c r="C3" s="91" t="s">
        <v>795</v>
      </c>
      <c r="D3" s="91" t="s">
        <v>1368</v>
      </c>
      <c r="E3" s="91" t="s">
        <v>1190</v>
      </c>
      <c r="F3" s="91" t="s">
        <v>1191</v>
      </c>
      <c r="G3" s="91" t="s">
        <v>1194</v>
      </c>
      <c r="H3" s="91" t="s">
        <v>1369</v>
      </c>
    </row>
    <row r="4" spans="1:8" ht="109.95" customHeight="1" x14ac:dyDescent="0.3">
      <c r="A4" s="90" t="s">
        <v>1370</v>
      </c>
      <c r="B4" s="91" t="s">
        <v>252</v>
      </c>
      <c r="C4" s="91" t="s">
        <v>1199</v>
      </c>
      <c r="D4" s="91" t="s">
        <v>1371</v>
      </c>
      <c r="E4" s="91" t="s">
        <v>1201</v>
      </c>
      <c r="F4" s="91" t="s">
        <v>1202</v>
      </c>
      <c r="G4" s="91" t="s">
        <v>1204</v>
      </c>
      <c r="H4" s="91" t="s">
        <v>1372</v>
      </c>
    </row>
    <row r="5" spans="1:8" ht="109.95" customHeight="1" thickBot="1" x14ac:dyDescent="0.35">
      <c r="A5" s="90" t="s">
        <v>1373</v>
      </c>
      <c r="B5" s="91" t="s">
        <v>277</v>
      </c>
      <c r="C5" s="91" t="s">
        <v>1209</v>
      </c>
      <c r="D5" s="91" t="s">
        <v>1374</v>
      </c>
      <c r="E5" s="91" t="s">
        <v>1211</v>
      </c>
      <c r="F5" s="91" t="s">
        <v>1212</v>
      </c>
      <c r="G5" s="91" t="s">
        <v>1214</v>
      </c>
      <c r="H5" s="91" t="s">
        <v>1372</v>
      </c>
    </row>
    <row r="6" spans="1:8" ht="109.95" customHeight="1" x14ac:dyDescent="0.3">
      <c r="A6" s="90" t="s">
        <v>1375</v>
      </c>
      <c r="B6" s="91" t="s">
        <v>314</v>
      </c>
      <c r="C6" s="91" t="s">
        <v>860</v>
      </c>
      <c r="D6" s="91" t="s">
        <v>861</v>
      </c>
      <c r="E6" s="91" t="s">
        <v>1219</v>
      </c>
      <c r="F6" s="91" t="s">
        <v>1220</v>
      </c>
      <c r="G6" s="91" t="s">
        <v>1222</v>
      </c>
      <c r="H6" s="91" t="s">
        <v>1376</v>
      </c>
    </row>
    <row r="7" spans="1:8" ht="109.95" customHeight="1" x14ac:dyDescent="0.3">
      <c r="A7" s="90" t="s">
        <v>1377</v>
      </c>
      <c r="B7" s="91" t="s">
        <v>322</v>
      </c>
      <c r="C7" s="91" t="s">
        <v>867</v>
      </c>
      <c r="D7" s="91" t="s">
        <v>1378</v>
      </c>
      <c r="E7" s="91" t="s">
        <v>1227</v>
      </c>
      <c r="F7" s="91" t="s">
        <v>1228</v>
      </c>
      <c r="G7" s="91" t="s">
        <v>1230</v>
      </c>
      <c r="H7" s="91" t="s">
        <v>1369</v>
      </c>
    </row>
    <row r="8" spans="1:8" ht="109.95" customHeight="1" x14ac:dyDescent="0.3">
      <c r="A8" s="90" t="s">
        <v>1379</v>
      </c>
      <c r="B8" s="91" t="s">
        <v>330</v>
      </c>
      <c r="C8" s="91" t="s">
        <v>1234</v>
      </c>
      <c r="D8" s="91" t="s">
        <v>861</v>
      </c>
      <c r="E8" s="91" t="s">
        <v>1236</v>
      </c>
      <c r="F8" s="91" t="s">
        <v>1237</v>
      </c>
      <c r="G8" s="91" t="s">
        <v>1239</v>
      </c>
      <c r="H8" s="91" t="s">
        <v>1369</v>
      </c>
    </row>
    <row r="9" spans="1:8" ht="109.95" customHeight="1" x14ac:dyDescent="0.3">
      <c r="A9" s="90" t="s">
        <v>1380</v>
      </c>
      <c r="B9" s="91" t="s">
        <v>346</v>
      </c>
      <c r="C9" s="91" t="s">
        <v>1253</v>
      </c>
      <c r="D9" s="91" t="s">
        <v>1381</v>
      </c>
      <c r="E9" s="91" t="s">
        <v>1255</v>
      </c>
      <c r="F9" s="91" t="s">
        <v>1256</v>
      </c>
      <c r="G9" s="91" t="s">
        <v>1258</v>
      </c>
      <c r="H9" s="91" t="s">
        <v>1369</v>
      </c>
    </row>
    <row r="10" spans="1:8" ht="109.95" customHeight="1" thickBot="1" x14ac:dyDescent="0.35">
      <c r="A10" s="90" t="s">
        <v>1382</v>
      </c>
      <c r="B10" s="91" t="s">
        <v>374</v>
      </c>
      <c r="C10" s="91" t="s">
        <v>898</v>
      </c>
      <c r="D10" s="91" t="s">
        <v>955</v>
      </c>
      <c r="E10" s="91" t="s">
        <v>1263</v>
      </c>
      <c r="F10" s="91" t="s">
        <v>1264</v>
      </c>
      <c r="G10" s="91" t="s">
        <v>1266</v>
      </c>
      <c r="H10" s="91" t="s">
        <v>1369</v>
      </c>
    </row>
    <row r="11" spans="1:8" ht="109.95" customHeight="1" x14ac:dyDescent="0.3">
      <c r="A11" s="90" t="s">
        <v>1383</v>
      </c>
      <c r="B11" s="91" t="s">
        <v>387</v>
      </c>
      <c r="C11" s="91" t="s">
        <v>1271</v>
      </c>
      <c r="D11" s="91" t="s">
        <v>861</v>
      </c>
      <c r="E11" s="91" t="s">
        <v>1273</v>
      </c>
      <c r="F11" s="91" t="s">
        <v>1274</v>
      </c>
      <c r="G11" s="91" t="s">
        <v>1266</v>
      </c>
      <c r="H11" s="91" t="s">
        <v>1384</v>
      </c>
    </row>
    <row r="12" spans="1:8" ht="109.95" customHeight="1" x14ac:dyDescent="0.3">
      <c r="A12" s="90" t="s">
        <v>1385</v>
      </c>
      <c r="B12" s="91" t="s">
        <v>393</v>
      </c>
      <c r="C12" s="91" t="s">
        <v>1279</v>
      </c>
      <c r="D12" s="91" t="s">
        <v>1386</v>
      </c>
      <c r="E12" s="91" t="s">
        <v>1281</v>
      </c>
      <c r="F12" s="91" t="s">
        <v>1282</v>
      </c>
      <c r="G12" s="91" t="s">
        <v>1284</v>
      </c>
      <c r="H12" s="91" t="s">
        <v>1384</v>
      </c>
    </row>
    <row r="13" spans="1:8" ht="109.95" customHeight="1" x14ac:dyDescent="0.3">
      <c r="A13" s="90" t="s">
        <v>1387</v>
      </c>
      <c r="B13" s="91" t="s">
        <v>435</v>
      </c>
      <c r="C13" s="91" t="s">
        <v>1288</v>
      </c>
      <c r="D13" s="91" t="s">
        <v>1388</v>
      </c>
      <c r="E13" s="91" t="s">
        <v>1290</v>
      </c>
      <c r="F13" s="91" t="s">
        <v>1291</v>
      </c>
      <c r="G13" s="91" t="s">
        <v>1293</v>
      </c>
      <c r="H13" s="91" t="s">
        <v>1372</v>
      </c>
    </row>
    <row r="14" spans="1:8" ht="109.95" customHeight="1" x14ac:dyDescent="0.3">
      <c r="A14" s="90" t="s">
        <v>1389</v>
      </c>
      <c r="B14" s="91" t="s">
        <v>484</v>
      </c>
      <c r="C14" s="91" t="s">
        <v>1297</v>
      </c>
      <c r="D14" s="91" t="s">
        <v>955</v>
      </c>
      <c r="E14" s="91" t="s">
        <v>1299</v>
      </c>
      <c r="F14" s="91" t="s">
        <v>1300</v>
      </c>
      <c r="G14" s="91" t="s">
        <v>1302</v>
      </c>
      <c r="H14" s="91" t="s">
        <v>1369</v>
      </c>
    </row>
    <row r="15" spans="1:8" ht="30" customHeight="1" x14ac:dyDescent="0.3">
      <c r="A15" s="121" t="s">
        <v>1390</v>
      </c>
      <c r="B15" s="103"/>
      <c r="C15" s="103"/>
      <c r="D15" s="103"/>
      <c r="E15" s="103"/>
      <c r="F15" s="103"/>
      <c r="G15" s="103"/>
      <c r="H15" s="103"/>
    </row>
    <row r="16" spans="1:8" ht="40.799999999999997" customHeight="1" x14ac:dyDescent="0.3">
      <c r="A16" s="39"/>
      <c r="B16" s="39"/>
      <c r="C16" s="39"/>
      <c r="D16" s="39"/>
      <c r="E16" s="39"/>
      <c r="F16" s="39"/>
    </row>
    <row r="17" spans="1:8" ht="21" customHeight="1" thickBot="1" x14ac:dyDescent="0.35">
      <c r="A17" s="122" t="s">
        <v>1391</v>
      </c>
      <c r="B17" s="103"/>
      <c r="C17" s="103"/>
      <c r="D17" s="103"/>
      <c r="E17" s="103"/>
      <c r="F17" s="103"/>
      <c r="G17" s="103"/>
      <c r="H17" s="103"/>
    </row>
    <row r="18" spans="1:8" ht="30.6" customHeight="1" x14ac:dyDescent="0.3">
      <c r="A18" s="89" t="s">
        <v>1360</v>
      </c>
      <c r="B18" s="89" t="s">
        <v>1179</v>
      </c>
      <c r="C18" s="89" t="s">
        <v>1180</v>
      </c>
      <c r="D18" s="89" t="s">
        <v>1181</v>
      </c>
      <c r="E18" s="89" t="s">
        <v>1392</v>
      </c>
      <c r="F18" s="89" t="s">
        <v>1393</v>
      </c>
      <c r="G18" s="89" t="s">
        <v>1184</v>
      </c>
      <c r="H18" s="89" t="s">
        <v>1366</v>
      </c>
    </row>
    <row r="19" spans="1:8" ht="94.95" customHeight="1" x14ac:dyDescent="0.3">
      <c r="A19" s="90" t="s">
        <v>1394</v>
      </c>
      <c r="B19" s="91" t="s">
        <v>1309</v>
      </c>
      <c r="C19" s="91" t="s">
        <v>1310</v>
      </c>
      <c r="D19" s="91" t="s">
        <v>1311</v>
      </c>
      <c r="E19" s="91" t="s">
        <v>1312</v>
      </c>
      <c r="F19" s="91" t="s">
        <v>1313</v>
      </c>
      <c r="G19" s="91" t="s">
        <v>1314</v>
      </c>
      <c r="H19" s="91" t="s">
        <v>1395</v>
      </c>
    </row>
    <row r="20" spans="1:8" ht="94.95" customHeight="1" x14ac:dyDescent="0.3">
      <c r="A20" s="90" t="s">
        <v>1396</v>
      </c>
      <c r="B20" s="91" t="s">
        <v>1321</v>
      </c>
      <c r="C20" s="91" t="s">
        <v>1322</v>
      </c>
      <c r="D20" s="91" t="s">
        <v>1323</v>
      </c>
      <c r="E20" s="91" t="s">
        <v>1324</v>
      </c>
      <c r="F20" s="91" t="s">
        <v>1325</v>
      </c>
      <c r="G20" s="91" t="s">
        <v>1326</v>
      </c>
      <c r="H20" s="91" t="s">
        <v>1372</v>
      </c>
    </row>
    <row r="21" spans="1:8" ht="94.95" customHeight="1" x14ac:dyDescent="0.3">
      <c r="A21" s="90" t="s">
        <v>1397</v>
      </c>
      <c r="B21" s="91" t="s">
        <v>1332</v>
      </c>
      <c r="C21" s="91" t="s">
        <v>1333</v>
      </c>
      <c r="D21" s="91" t="s">
        <v>1334</v>
      </c>
      <c r="E21" s="91" t="s">
        <v>1335</v>
      </c>
      <c r="F21" s="91" t="s">
        <v>1336</v>
      </c>
      <c r="G21" s="91" t="s">
        <v>1337</v>
      </c>
      <c r="H21" s="91" t="s">
        <v>1395</v>
      </c>
    </row>
    <row r="22" spans="1:8" ht="94.95" customHeight="1" x14ac:dyDescent="0.3">
      <c r="A22" s="90" t="s">
        <v>1398</v>
      </c>
      <c r="B22" s="91" t="s">
        <v>1343</v>
      </c>
      <c r="C22" s="91" t="s">
        <v>1344</v>
      </c>
      <c r="D22" s="91" t="s">
        <v>1345</v>
      </c>
      <c r="E22" s="91" t="s">
        <v>1346</v>
      </c>
      <c r="F22" s="91" t="s">
        <v>1347</v>
      </c>
      <c r="G22" s="91" t="s">
        <v>1348</v>
      </c>
      <c r="H22" s="91" t="s">
        <v>1372</v>
      </c>
    </row>
    <row r="23" spans="1:8" ht="94.95" customHeight="1" thickBot="1" x14ac:dyDescent="0.35">
      <c r="A23" s="90" t="s">
        <v>1399</v>
      </c>
      <c r="B23" s="91" t="s">
        <v>1353</v>
      </c>
      <c r="C23" s="91" t="s">
        <v>1354</v>
      </c>
      <c r="D23" s="91" t="s">
        <v>1355</v>
      </c>
      <c r="E23" s="91" t="s">
        <v>1356</v>
      </c>
      <c r="F23" s="91" t="s">
        <v>1357</v>
      </c>
      <c r="G23" s="91" t="s">
        <v>1358</v>
      </c>
      <c r="H23" s="91" t="s">
        <v>1376</v>
      </c>
    </row>
    <row r="24" spans="1:8" ht="30" customHeight="1" x14ac:dyDescent="0.3">
      <c r="A24" s="121" t="s">
        <v>1400</v>
      </c>
      <c r="B24" s="103"/>
      <c r="C24" s="103"/>
      <c r="D24" s="103"/>
      <c r="E24" s="103"/>
      <c r="F24" s="103"/>
      <c r="G24" s="103"/>
      <c r="H24" s="103"/>
    </row>
    <row r="25" spans="1:8" ht="71.400000000000006" customHeight="1" x14ac:dyDescent="0.3"/>
    <row r="26" spans="1:8" ht="30.6" customHeight="1" x14ac:dyDescent="0.3">
      <c r="A26" s="122" t="s">
        <v>1401</v>
      </c>
      <c r="B26" s="103"/>
      <c r="C26" s="103"/>
    </row>
    <row r="27" spans="1:8" ht="30.6" customHeight="1" x14ac:dyDescent="0.3">
      <c r="A27" s="89" t="s">
        <v>1402</v>
      </c>
      <c r="B27" s="89" t="s">
        <v>1403</v>
      </c>
      <c r="C27" s="89" t="s">
        <v>1404</v>
      </c>
    </row>
    <row r="28" spans="1:8" ht="18" customHeight="1" thickBot="1" x14ac:dyDescent="0.35">
      <c r="A28" s="91" t="s">
        <v>1405</v>
      </c>
      <c r="B28" s="92">
        <f>COUNTIFS(Articulos_finales!$Q$4:$Q$21,"Incluir",Articulos_finales!$S$4:$S$21,"Fitopatológico")</f>
        <v>12</v>
      </c>
      <c r="C28" s="91" t="s">
        <v>1406</v>
      </c>
    </row>
    <row r="29" spans="1:8" ht="18" customHeight="1" x14ac:dyDescent="0.3">
      <c r="A29" s="91" t="s">
        <v>1407</v>
      </c>
      <c r="B29" s="92">
        <f>COUNTIFS(Articulos_finales!$Q$4:$Q$21,"Incluir",Articulos_finales!$S$4:$S$21,"Tecnológico")</f>
        <v>5</v>
      </c>
      <c r="C29" s="91" t="s">
        <v>1408</v>
      </c>
    </row>
    <row r="30" spans="1:8" ht="18" customHeight="1" x14ac:dyDescent="0.3">
      <c r="A30" s="91" t="s">
        <v>1409</v>
      </c>
      <c r="B30" s="92">
        <f>COUNTIFS(Articulos_finales!$Q$4:$Q$21,"Incluir",Articulos_finales!$B$4:$B$21,"Scopus")</f>
        <v>16</v>
      </c>
      <c r="C30" s="91"/>
    </row>
    <row r="31" spans="1:8" ht="18" customHeight="1" x14ac:dyDescent="0.3">
      <c r="A31" s="91" t="s">
        <v>1410</v>
      </c>
      <c r="B31" s="92">
        <f>COUNTIFS(Articulos_finales!$Q$4:$Q$21,"Incluir",Articulos_finales!$B$4:$B$21,"Science Direct")</f>
        <v>0</v>
      </c>
      <c r="C31" s="91"/>
    </row>
    <row r="32" spans="1:8" ht="18" customHeight="1" x14ac:dyDescent="0.3">
      <c r="A32" s="91" t="s">
        <v>1411</v>
      </c>
      <c r="B32" s="92">
        <f>COUNTIFS(Articulos_finales!$Q$4:$Q$21,"Incluir",Articulos_finales!$B$4:$B$21,"Springer Link")</f>
        <v>1</v>
      </c>
      <c r="C32" s="91"/>
    </row>
    <row r="33" spans="1:3" ht="18" customHeight="1" x14ac:dyDescent="0.3">
      <c r="A33" s="91" t="s">
        <v>1412</v>
      </c>
      <c r="B33" s="92">
        <f>COUNTIFS(Articulos_finales!$Q$4:$Q$21,"Incluir",Articulos_finales!$D$4:$D$21,"&lt;=2023")</f>
        <v>4</v>
      </c>
      <c r="C33" s="91"/>
    </row>
    <row r="34" spans="1:3" ht="18" customHeight="1" thickBot="1" x14ac:dyDescent="0.35">
      <c r="A34" s="91" t="s">
        <v>1413</v>
      </c>
      <c r="B34" s="92">
        <f>COUNTIFS(Articulos_finales!$Q$4:$Q$21,"Incluir",Articulos_finales!$D$4:$D$21,"&gt;=2024")</f>
        <v>8</v>
      </c>
      <c r="C34" s="91"/>
    </row>
    <row r="35" spans="1:3" ht="18" customHeight="1" x14ac:dyDescent="0.3">
      <c r="A35" s="91" t="s">
        <v>1414</v>
      </c>
      <c r="B35" s="92">
        <f>COUNTIFS(Articulos_finales!$Q$4:$Q$21,"Incluir",Articulos_finales!$Y$4:$Y$21,"*España*")</f>
        <v>6</v>
      </c>
      <c r="C35" s="91" t="s">
        <v>1415</v>
      </c>
    </row>
    <row r="36" spans="1:3" ht="18" customHeight="1" x14ac:dyDescent="0.3">
      <c r="A36" s="91" t="s">
        <v>1416</v>
      </c>
      <c r="B36" s="92">
        <f>COUNTIFS(Articulos_finales!$Q$4:$Q$21,"Incluir",Articulos_finales!$Y$4:$Y$21,"*Italia*")</f>
        <v>3</v>
      </c>
      <c r="C36" s="91" t="s">
        <v>1417</v>
      </c>
    </row>
    <row r="37" spans="1:3" ht="18" customHeight="1" x14ac:dyDescent="0.3">
      <c r="A37" s="91" t="s">
        <v>1418</v>
      </c>
      <c r="B37" s="92">
        <f>COUNTIFS(Articulos_finales!$Q$4:$Q$21,"Incluir",Articulos_finales!$Y$4:$Y$21,"*Turquía*")</f>
        <v>1</v>
      </c>
      <c r="C37" s="91" t="s">
        <v>276</v>
      </c>
    </row>
    <row r="38" spans="1:3" ht="18" customHeight="1" x14ac:dyDescent="0.3">
      <c r="A38" s="91" t="s">
        <v>1419</v>
      </c>
      <c r="B38" s="92">
        <f>COUNTIFS(Articulos_finales!$Q$4:$Q$21,"Incluir",Articulos_finales!$Y$4:$Y$21,"*Brasil*")</f>
        <v>1</v>
      </c>
      <c r="C38" s="91" t="s">
        <v>313</v>
      </c>
    </row>
    <row r="39" spans="1:3" ht="18" customHeight="1" x14ac:dyDescent="0.3">
      <c r="A39" s="91" t="s">
        <v>1420</v>
      </c>
      <c r="B39" s="92">
        <f>COUNTIFS(Articulos_finales!$Q$4:$Q$21,"Incluir",Articulos_finales!$Y$4:$Y$21,"*Perú*")</f>
        <v>2</v>
      </c>
      <c r="C39" s="91" t="s">
        <v>1421</v>
      </c>
    </row>
    <row r="40" spans="1:3" ht="18" customHeight="1" x14ac:dyDescent="0.3">
      <c r="A40" s="91" t="s">
        <v>1422</v>
      </c>
      <c r="B40" s="92">
        <f>COUNTIFS(Articulos_finales!$Q$4:$Q$21,"Incluir",Articulos_finales!$Y$4:$Y$21,"*Chile*")</f>
        <v>1</v>
      </c>
      <c r="C40" s="91" t="s">
        <v>483</v>
      </c>
    </row>
    <row r="41" spans="1:3" ht="18" customHeight="1" thickBot="1" x14ac:dyDescent="0.35">
      <c r="A41" s="91" t="s">
        <v>1423</v>
      </c>
      <c r="B41" s="92">
        <f>COUNTIFS(Articulos_finales!$Q$4:$Q$21,"Incluir",Articulos_finales!$Y$4:$Y$21,"*México*")</f>
        <v>1</v>
      </c>
      <c r="C41" s="91" t="s">
        <v>434</v>
      </c>
    </row>
    <row r="42" spans="1:3" ht="18" customHeight="1" x14ac:dyDescent="0.3">
      <c r="A42" s="91" t="s">
        <v>1424</v>
      </c>
      <c r="B42" s="92">
        <f>COUNTIFS(Articulos_finales!$Q$4:$Q$21,"Incluir",Articulos_finales!$Y$4:$Y$21,"*India*")</f>
        <v>2</v>
      </c>
      <c r="C42" s="91" t="s">
        <v>1425</v>
      </c>
    </row>
    <row r="43" spans="1:3" ht="18" customHeight="1" x14ac:dyDescent="0.3">
      <c r="A43" s="91" t="s">
        <v>1426</v>
      </c>
      <c r="B43" s="92">
        <f>COUNTIFS(Articulos_finales!$Q$4:$Q$21,"Incluir",Articulos_finales!$Y$4:$Y$21,"*Pakistán*")</f>
        <v>1</v>
      </c>
      <c r="C43" s="91" t="s">
        <v>622</v>
      </c>
    </row>
    <row r="44" spans="1:3" ht="18" customHeight="1" x14ac:dyDescent="0.3">
      <c r="A44" s="91" t="s">
        <v>1427</v>
      </c>
      <c r="B44" s="92">
        <f>COUNTIFS(Articulos_finales!$Q$4:$Q$21,"Incluir",Articulos_finales!$Y$4:$Y$21,"*Grecia*")</f>
        <v>1</v>
      </c>
      <c r="C44" s="91" t="s">
        <v>640</v>
      </c>
    </row>
    <row r="45" spans="1:3" ht="18" customHeight="1" thickBot="1" x14ac:dyDescent="0.35">
      <c r="A45" s="91" t="s">
        <v>1428</v>
      </c>
      <c r="B45" s="92">
        <f>COUNTIFS(Articulos_finales!$Q$4:$Q$21,"Incluir",Articulos_finales!$Y$4:$Y$21,"*Ecuador*")</f>
        <v>0</v>
      </c>
      <c r="C45" s="91" t="s">
        <v>1429</v>
      </c>
    </row>
    <row r="46" spans="1:3" ht="30" customHeight="1" x14ac:dyDescent="0.3">
      <c r="A46" s="121" t="s">
        <v>1430</v>
      </c>
      <c r="B46" s="103"/>
      <c r="C46" s="103"/>
    </row>
    <row r="48" spans="1:3" ht="15.6" customHeight="1" x14ac:dyDescent="0.3">
      <c r="A48" s="122" t="s">
        <v>1431</v>
      </c>
      <c r="B48" s="103"/>
      <c r="C48" s="103"/>
    </row>
    <row r="49" spans="1:3" ht="28.8" customHeight="1" x14ac:dyDescent="0.3">
      <c r="A49" s="89" t="s">
        <v>1432</v>
      </c>
      <c r="B49" s="89" t="s">
        <v>1433</v>
      </c>
      <c r="C49" s="89" t="s">
        <v>1404</v>
      </c>
    </row>
    <row r="50" spans="1:3" ht="30" customHeight="1" x14ac:dyDescent="0.3">
      <c r="A50" s="91" t="s">
        <v>1434</v>
      </c>
      <c r="B50" s="92">
        <v>9</v>
      </c>
      <c r="C50" s="91" t="s">
        <v>1435</v>
      </c>
    </row>
    <row r="51" spans="1:3" ht="30" customHeight="1" x14ac:dyDescent="0.3">
      <c r="A51" s="91" t="s">
        <v>1436</v>
      </c>
      <c r="B51" s="92">
        <v>7</v>
      </c>
      <c r="C51" s="91" t="s">
        <v>1437</v>
      </c>
    </row>
    <row r="52" spans="1:3" ht="30" customHeight="1" x14ac:dyDescent="0.3">
      <c r="A52" s="91" t="s">
        <v>1438</v>
      </c>
      <c r="B52" s="92">
        <v>5</v>
      </c>
      <c r="C52" s="91" t="s">
        <v>1439</v>
      </c>
    </row>
    <row r="53" spans="1:3" ht="30" customHeight="1" x14ac:dyDescent="0.3">
      <c r="A53" s="91" t="s">
        <v>1440</v>
      </c>
      <c r="B53" s="92">
        <v>2</v>
      </c>
      <c r="C53" s="91" t="s">
        <v>1441</v>
      </c>
    </row>
    <row r="54" spans="1:3" ht="30" customHeight="1" x14ac:dyDescent="0.3">
      <c r="A54" s="91" t="s">
        <v>1442</v>
      </c>
      <c r="B54" s="92">
        <v>2</v>
      </c>
      <c r="C54" s="91" t="s">
        <v>1443</v>
      </c>
    </row>
    <row r="55" spans="1:3" ht="30" customHeight="1" x14ac:dyDescent="0.3">
      <c r="A55" s="91" t="s">
        <v>1444</v>
      </c>
      <c r="B55" s="92">
        <v>2</v>
      </c>
      <c r="C55" s="91" t="s">
        <v>1445</v>
      </c>
    </row>
    <row r="56" spans="1:3" ht="30" customHeight="1" x14ac:dyDescent="0.3">
      <c r="A56" s="121" t="s">
        <v>1446</v>
      </c>
      <c r="B56" s="103"/>
      <c r="C56" s="103"/>
    </row>
  </sheetData>
  <mergeCells count="8">
    <mergeCell ref="A15:H15"/>
    <mergeCell ref="A46:C46"/>
    <mergeCell ref="A24:H24"/>
    <mergeCell ref="A56:C56"/>
    <mergeCell ref="A1:H1"/>
    <mergeCell ref="A48:C48"/>
    <mergeCell ref="A26:C26"/>
    <mergeCell ref="A17:H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2"/>
  <sheetViews>
    <sheetView zoomScale="86" workbookViewId="0">
      <selection activeCell="G4" sqref="G4"/>
    </sheetView>
  </sheetViews>
  <sheetFormatPr baseColWidth="10" defaultColWidth="8.88671875" defaultRowHeight="14.4" x14ac:dyDescent="0.3"/>
  <cols>
    <col min="1" max="1" width="3" customWidth="1"/>
    <col min="2" max="2" width="15" customWidth="1"/>
    <col min="3" max="3" width="46" customWidth="1"/>
    <col min="4" max="4" width="4" customWidth="1"/>
    <col min="5" max="5" width="50" customWidth="1"/>
    <col min="6" max="6" width="3" customWidth="1"/>
    <col min="7" max="7" width="34" customWidth="1"/>
    <col min="8" max="8" width="10" customWidth="1"/>
    <col min="10" max="10" width="58" customWidth="1"/>
    <col min="11" max="11" width="14" customWidth="1"/>
  </cols>
  <sheetData>
    <row r="1" spans="1:11" ht="17.399999999999999" customHeight="1" x14ac:dyDescent="0.3">
      <c r="A1" s="25" t="s">
        <v>1447</v>
      </c>
    </row>
    <row r="2" spans="1:11" x14ac:dyDescent="0.3">
      <c r="A2" s="55" t="s">
        <v>1448</v>
      </c>
    </row>
    <row r="4" spans="1:11" ht="91.95" customHeight="1" x14ac:dyDescent="0.3">
      <c r="B4" s="26" t="s">
        <v>1449</v>
      </c>
      <c r="C4" s="27" t="str">
        <f>"Registros identificados en bases de datos (n = "&amp;$H$8&amp;")"&amp;CHAR(10)&amp;"Scopus (n = "&amp;$H$5&amp;")"&amp;CHAR(10)&amp;"ScienceDirect (n = "&amp;$H$6&amp;")"&amp;CHAR(10)&amp;"Springer Link (n = "&amp;$H$7&amp;")"</f>
        <v>Registros identificados en bases de datos (n = 78)
Scopus (n = 59)
ScienceDirect (n = 15)
Springer Link (n = 4)</v>
      </c>
      <c r="D4" s="28" t="s">
        <v>1450</v>
      </c>
      <c r="E4" s="29" t="str">
        <f>"Registros eliminados antes del cribado:"&amp;CHAR(10)&amp;"Duplicados (n = "&amp;$H$12&amp;")"&amp;CHAR(10)&amp;"   · dentro de la misma base (n = "&amp;$H$10&amp;")"&amp;CHAR(10)&amp;"   · entre bases (n = "&amp;$H$11&amp;")"&amp;CHAR(10)&amp;"Otros motivos: estudios secundarios – revisiones (n = "&amp;$H$13&amp;")"</f>
        <v>Registros eliminados antes del cribado:
Duplicados (n = 14)
   · dentro de la misma base (n = 10)
   · entre bases (n = 4)
Otros motivos: estudios secundarios – revisiones (n = 9)</v>
      </c>
      <c r="G4" s="23" t="s">
        <v>1451</v>
      </c>
      <c r="J4" s="94" t="s">
        <v>1452</v>
      </c>
      <c r="K4" s="95"/>
    </row>
    <row r="5" spans="1:11" ht="18" customHeight="1" x14ac:dyDescent="0.3">
      <c r="C5" s="28" t="s">
        <v>1453</v>
      </c>
      <c r="G5" s="30" t="s">
        <v>1454</v>
      </c>
      <c r="H5" s="30">
        <f>SUMIF(Cadenas_de_busqueda!$C:$C,"Scopus",Cadenas_de_busqueda!$H:$H)</f>
        <v>59</v>
      </c>
      <c r="J5" s="96" t="s">
        <v>1455</v>
      </c>
      <c r="K5" s="97" t="str">
        <f>IF(H8-H12-H13=H14,"Correcto","Revisar")</f>
        <v>Correcto</v>
      </c>
    </row>
    <row r="6" spans="1:11" ht="91.95" customHeight="1" x14ac:dyDescent="0.3">
      <c r="B6" s="123" t="s">
        <v>1456</v>
      </c>
      <c r="C6" s="27" t="str">
        <f>"Registros cribados por título, resumen y palabras clave (n = "&amp;$H$14&amp;")"</f>
        <v>Registros cribados por título, resumen y palabras clave (n = 55)</v>
      </c>
      <c r="D6" s="28" t="s">
        <v>1450</v>
      </c>
      <c r="E6" s="29" t="str">
        <f>"Registros excluidos (n = "&amp;$H$15&amp;")"&amp;CHAR(10)&amp;"Solo fruto (n = "&amp;$H$16&amp;")"&amp;CHAR(10)&amp;"Solo raíz (n = "&amp;$H$17&amp;")"&amp;CHAR(10)&amp;"Sin información del tallo (n = "&amp;$H$18&amp;")"&amp;CHAR(10)&amp;"No aborda enfermedades (n = "&amp;$H$19&amp;")"&amp;CHAR(10)&amp;"No usa IA (n = "&amp;$H$20&amp;")"</f>
        <v>Registros excluidos (n = 33)
Solo fruto (n = 13)
Solo raíz (n = 12)
Sin información del tallo (n = 2)
No aborda enfermedades (n = 5)
No usa IA (n = 1)</v>
      </c>
      <c r="G6" s="30" t="s">
        <v>1457</v>
      </c>
      <c r="H6" s="30">
        <f>SUMIF(Cadenas_de_busqueda!$C:$C,"Science Direct",Cadenas_de_busqueda!$H:$H)</f>
        <v>15</v>
      </c>
      <c r="J6" s="96" t="s">
        <v>1458</v>
      </c>
      <c r="K6" s="97" t="str">
        <f>IF(H14-H15=H21,"Correcto","Revisar")</f>
        <v>Correcto</v>
      </c>
    </row>
    <row r="7" spans="1:11" ht="18" customHeight="1" x14ac:dyDescent="0.3">
      <c r="B7" s="103"/>
      <c r="C7" s="28" t="s">
        <v>1453</v>
      </c>
      <c r="G7" s="30" t="s">
        <v>1459</v>
      </c>
      <c r="H7" s="30">
        <f>SUMIF(Cadenas_de_busqueda!$C:$C,"Springer Link",Cadenas_de_busqueda!$H:$H)+SUMIF(Cadenas_de_busqueda!$C:$C,"Springer",Cadenas_de_busqueda!$H:$H)</f>
        <v>4</v>
      </c>
      <c r="J7" s="96" t="s">
        <v>1460</v>
      </c>
      <c r="K7" s="97" t="str">
        <f>IF(H16+H17+H18+H19+H20=H15,"Correcto","Revisar")</f>
        <v>Correcto</v>
      </c>
    </row>
    <row r="8" spans="1:11" ht="45" customHeight="1" x14ac:dyDescent="0.3">
      <c r="B8" s="103"/>
      <c r="C8" s="27" t="str">
        <f>"Informes buscados para su recuperación (n = "&amp;$H$21&amp;")"</f>
        <v>Informes buscados para su recuperación (n = 22)</v>
      </c>
      <c r="D8" s="28" t="s">
        <v>1450</v>
      </c>
      <c r="E8" s="29" t="str">
        <f>"Informes no recuperados (n = "&amp;$H$22&amp;")"</f>
        <v>Informes no recuperados (n = 0)</v>
      </c>
      <c r="G8" s="30" t="s">
        <v>1461</v>
      </c>
      <c r="H8" s="30">
        <f>H5+H6+H7</f>
        <v>78</v>
      </c>
      <c r="J8" s="96" t="s">
        <v>1462</v>
      </c>
      <c r="K8" s="97" t="str">
        <f>IF(H21-H22=H23,"Correcto","Revisar")</f>
        <v>Correcto</v>
      </c>
    </row>
    <row r="9" spans="1:11" ht="18" customHeight="1" x14ac:dyDescent="0.3">
      <c r="B9" s="103"/>
      <c r="C9" s="28" t="s">
        <v>1453</v>
      </c>
      <c r="G9" s="30" t="s">
        <v>1463</v>
      </c>
      <c r="H9" s="30">
        <f>COUNTA(Base_consolidada!$A$4:$A$200)</f>
        <v>68</v>
      </c>
      <c r="J9" s="96" t="s">
        <v>1464</v>
      </c>
      <c r="K9" s="97" t="str">
        <f>IF(H23-H32=H28,"Correcto","Revisar")</f>
        <v>Correcto</v>
      </c>
    </row>
    <row r="10" spans="1:11" ht="91.95" customHeight="1" x14ac:dyDescent="0.3">
      <c r="B10" s="103"/>
      <c r="C10" s="27" t="str">
        <f>"Informes evaluados a texto completo para su elegibilidad (n = "&amp;$H$23&amp;")"</f>
        <v>Informes evaluados a texto completo para su elegibilidad (n = 22)</v>
      </c>
      <c r="D10" s="28" t="s">
        <v>1450</v>
      </c>
      <c r="E10" s="29" t="str">
        <f>"Informes excluidos (n = "&amp;$H$32&amp;")"&amp;CHAR(10)&amp;"Solo raíz (n = "&amp;$H$31&amp;")"&amp;CHAR(10)&amp;"Solo fruto (n = "&amp;$H$24&amp;")"&amp;CHAR(10)&amp;"Sin información de síntomas en tallo (n = "&amp;$H$25&amp;")"&amp;CHAR(10)&amp;"No aborda el diagnóstico de enfermedades (n = "&amp;$H$26&amp;")"&amp;CHAR(10)&amp;"En reserva por alineación baja tras la evaluación de calidad (n = "&amp;$H$27&amp;")"</f>
        <v>Informes excluidos (n = 5)
Solo raíz (n = 1)
Solo fruto (n = 1)
Sin información de síntomas en tallo (n = 1)
No aborda el diagnóstico de enfermedades (n = 1)
En reserva por alineación baja tras la evaluación de calidad (n = 1)</v>
      </c>
      <c r="G10" s="30" t="s">
        <v>1465</v>
      </c>
      <c r="H10" s="30">
        <f>H8-H9</f>
        <v>10</v>
      </c>
      <c r="J10" s="96" t="s">
        <v>1466</v>
      </c>
      <c r="K10" s="97" t="str">
        <f>IF(H29+H30=H28,"Correcto","Revisar")</f>
        <v>Correcto</v>
      </c>
    </row>
    <row r="11" spans="1:11" ht="18" customHeight="1" x14ac:dyDescent="0.3">
      <c r="C11" s="28" t="s">
        <v>1453</v>
      </c>
      <c r="G11" s="30" t="s">
        <v>1467</v>
      </c>
      <c r="H11" s="30">
        <f>COUNTIF(Duplicados_y_exclusion!$E$4:$E$200,"Duplicado")</f>
        <v>4</v>
      </c>
      <c r="J11" s="96" t="s">
        <v>1468</v>
      </c>
      <c r="K11" s="97" t="str">
        <f>IF(H10=Cadenas_de_busqueda!H30,"Correcto","Revisar")</f>
        <v>Correcto</v>
      </c>
    </row>
    <row r="12" spans="1:11" ht="70.05" customHeight="1" x14ac:dyDescent="0.3">
      <c r="B12" s="26" t="s">
        <v>1469</v>
      </c>
      <c r="C12" s="31" t="str">
        <f>"Estudios incluidos en la revisión (n = "&amp;$H$28&amp;")"&amp;CHAR(10)&amp;"Fitopatológicos (n = "&amp;$H$29&amp;")"&amp;CHAR(10)&amp;"Tecnológicos (n = "&amp;$H$30&amp;")"</f>
        <v>Estudios incluidos en la revisión (n = 17)
Fitopatológicos (n = 12)
Tecnológicos (n = 5)</v>
      </c>
      <c r="G12" s="30" t="s">
        <v>1470</v>
      </c>
      <c r="H12" s="30">
        <f>H10+H11</f>
        <v>14</v>
      </c>
    </row>
    <row r="13" spans="1:11" x14ac:dyDescent="0.3">
      <c r="G13" s="30" t="s">
        <v>1471</v>
      </c>
      <c r="H13" s="30">
        <f>COUNTIF(Duplicados_y_exclusion!$E$4:$E$200,"Revisión sistemática")+COUNTIF(Duplicados_y_exclusion!$E$4:$E$200,"Revisión de literatura")</f>
        <v>9</v>
      </c>
    </row>
    <row r="14" spans="1:11" ht="60" customHeight="1" x14ac:dyDescent="0.3">
      <c r="C14" s="98" t="s">
        <v>1472</v>
      </c>
      <c r="G14" s="30" t="s">
        <v>1473</v>
      </c>
      <c r="H14" s="30">
        <f>COUNTA(Tamizaje_Tit_Abs_Keys!$A$4:$A$200)</f>
        <v>55</v>
      </c>
    </row>
    <row r="15" spans="1:11" x14ac:dyDescent="0.3">
      <c r="G15" s="30" t="s">
        <v>1474</v>
      </c>
      <c r="H15" s="30">
        <f>COUNTIF(Tamizaje_Tit_Abs_Keys!$N$4:$N$200,"No")</f>
        <v>33</v>
      </c>
    </row>
    <row r="16" spans="1:11" x14ac:dyDescent="0.3">
      <c r="G16" s="30" t="s">
        <v>1475</v>
      </c>
      <c r="H16" s="30">
        <f>COUNTIF(Tamizaje_Tit_Abs_Keys!$P$4:$P$200,"CE-F1 Solo fruto")</f>
        <v>13</v>
      </c>
    </row>
    <row r="17" spans="7:8" x14ac:dyDescent="0.3">
      <c r="G17" s="30" t="s">
        <v>1476</v>
      </c>
      <c r="H17" s="30">
        <f>COUNTIF(Tamizaje_Tit_Abs_Keys!$P$4:$P$200,"CE-F1 Solo raíz")</f>
        <v>12</v>
      </c>
    </row>
    <row r="18" spans="7:8" x14ac:dyDescent="0.3">
      <c r="G18" s="30" t="s">
        <v>1477</v>
      </c>
      <c r="H18" s="30">
        <f>COUNTIF(Tamizaje_Tit_Abs_Keys!$P$4:$P$200,"CI-F3 Sin información del tallo")</f>
        <v>2</v>
      </c>
    </row>
    <row r="19" spans="7:8" x14ac:dyDescent="0.3">
      <c r="G19" s="30" t="s">
        <v>1478</v>
      </c>
      <c r="H19" s="30">
        <f>COUNTIF(Tamizaje_Tit_Abs_Keys!$P$4:$P$200,"CE-T2 No aborda enfermedades")</f>
        <v>5</v>
      </c>
    </row>
    <row r="20" spans="7:8" x14ac:dyDescent="0.3">
      <c r="G20" s="30" t="s">
        <v>1479</v>
      </c>
      <c r="H20" s="30">
        <f>COUNTIF(Tamizaje_Tit_Abs_Keys!$P$4:$P$200,"CE-T1 No usa IA")</f>
        <v>1</v>
      </c>
    </row>
    <row r="21" spans="7:8" x14ac:dyDescent="0.3">
      <c r="G21" s="30" t="s">
        <v>1480</v>
      </c>
      <c r="H21" s="30">
        <f>COUNTIF(Tamizaje_Tit_Abs_Keys!$N$4:$N$200,"Sí")</f>
        <v>22</v>
      </c>
    </row>
    <row r="22" spans="7:8" x14ac:dyDescent="0.3">
      <c r="G22" s="30" t="s">
        <v>1481</v>
      </c>
      <c r="H22" s="30">
        <f>COUNTIF(Texto_completo!$E$4:$E$300,"No")</f>
        <v>0</v>
      </c>
    </row>
    <row r="23" spans="7:8" x14ac:dyDescent="0.3">
      <c r="G23" s="30" t="s">
        <v>1482</v>
      </c>
      <c r="H23" s="30">
        <f>COUNTIF(Texto_completo!$E$4:$E$300,"Sí")</f>
        <v>22</v>
      </c>
    </row>
    <row r="24" spans="7:8" x14ac:dyDescent="0.3">
      <c r="G24" s="30" t="s">
        <v>1483</v>
      </c>
      <c r="H24" s="30">
        <f>COUNTIFS(Texto_completo!$G$4:$G$300,"Excluir",Texto_completo!$H$4:$H$300,"Solo fruto")</f>
        <v>1</v>
      </c>
    </row>
    <row r="25" spans="7:8" x14ac:dyDescent="0.3">
      <c r="G25" s="30" t="s">
        <v>1484</v>
      </c>
      <c r="H25" s="30">
        <f>COUNTIFS(Texto_completo!$G$4:$G$300,"Excluir",Texto_completo!$H$4:$H$300,"Sin información de síntomas en tallo")</f>
        <v>1</v>
      </c>
    </row>
    <row r="26" spans="7:8" x14ac:dyDescent="0.3">
      <c r="G26" s="30" t="s">
        <v>1485</v>
      </c>
      <c r="H26" s="30">
        <f>COUNTIFS(Texto_completo!$G$4:$G$300,"Excluir",Texto_completo!$H$4:$H$300,"No aborda el diagnóstico de enfermedades")</f>
        <v>1</v>
      </c>
    </row>
    <row r="27" spans="7:8" x14ac:dyDescent="0.3">
      <c r="G27" s="30" t="s">
        <v>1486</v>
      </c>
      <c r="H27" s="30">
        <f>COUNTIF(Articulos_finales!$Q$4:$Q$300,"Reserva")</f>
        <v>1</v>
      </c>
    </row>
    <row r="28" spans="7:8" x14ac:dyDescent="0.3">
      <c r="G28" s="30" t="s">
        <v>1487</v>
      </c>
      <c r="H28" s="30">
        <f>COUNTIF(Articulos_finales!$Q$4:$Q$300,"Incluir")</f>
        <v>17</v>
      </c>
    </row>
    <row r="29" spans="7:8" x14ac:dyDescent="0.3">
      <c r="G29" s="30" t="s">
        <v>1488</v>
      </c>
      <c r="H29" s="30">
        <f>COUNTIFS(Articulos_finales!$Q$4:$Q$300,"Incluir",Articulos_finales!$S$4:$S$300,"Fitopatológico")</f>
        <v>12</v>
      </c>
    </row>
    <row r="30" spans="7:8" x14ac:dyDescent="0.3">
      <c r="G30" s="30" t="s">
        <v>1489</v>
      </c>
      <c r="H30" s="30">
        <f>COUNTIFS(Articulos_finales!$Q$4:$Q$300,"Incluir",Articulos_finales!$S$4:$S$300,"Tecnológico")</f>
        <v>5</v>
      </c>
    </row>
    <row r="31" spans="7:8" x14ac:dyDescent="0.3">
      <c r="G31" s="30" t="s">
        <v>1490</v>
      </c>
      <c r="H31" s="30">
        <f>COUNTIFS(Texto_completo!$G$4:$G$300,"Excluir",Texto_completo!$H$4:$H$300,"Solo raíz")</f>
        <v>1</v>
      </c>
    </row>
    <row r="32" spans="7:8" x14ac:dyDescent="0.3">
      <c r="G32" s="30" t="s">
        <v>1491</v>
      </c>
      <c r="H32" s="30">
        <f>H31+H24+H25+H26+H27</f>
        <v>5</v>
      </c>
    </row>
  </sheetData>
  <mergeCells count="1">
    <mergeCell ref="B6:B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
  <sheetViews>
    <sheetView workbookViewId="0">
      <selection activeCell="F10" sqref="F10"/>
    </sheetView>
  </sheetViews>
  <sheetFormatPr baseColWidth="10" defaultColWidth="8.88671875" defaultRowHeight="14.4" x14ac:dyDescent="0.3"/>
  <cols>
    <col min="1" max="1" width="42" customWidth="1"/>
    <col min="2" max="2" width="14" customWidth="1"/>
    <col min="3" max="3" width="42" customWidth="1"/>
    <col min="4" max="4" width="3" customWidth="1"/>
    <col min="5" max="5" width="18" customWidth="1"/>
    <col min="6" max="6" width="14" customWidth="1"/>
    <col min="7" max="8" width="10" customWidth="1"/>
    <col min="10" max="10" width="23.33203125" customWidth="1"/>
  </cols>
  <sheetData>
    <row r="1" spans="1:10" ht="17.55" customHeight="1" x14ac:dyDescent="0.3">
      <c r="A1" s="124" t="s">
        <v>30</v>
      </c>
      <c r="B1" s="103"/>
      <c r="C1" s="103"/>
      <c r="D1" s="103"/>
      <c r="E1" s="103"/>
      <c r="F1" s="103"/>
      <c r="G1" s="103"/>
      <c r="H1" s="103"/>
    </row>
    <row r="2" spans="1:10" x14ac:dyDescent="0.3">
      <c r="A2" s="55" t="s">
        <v>1492</v>
      </c>
    </row>
    <row r="3" spans="1:10" x14ac:dyDescent="0.3">
      <c r="A3" s="1" t="s">
        <v>1493</v>
      </c>
      <c r="B3" s="1" t="s">
        <v>1403</v>
      </c>
      <c r="C3" s="1" t="s">
        <v>1494</v>
      </c>
      <c r="D3" s="1"/>
      <c r="E3" s="1" t="s">
        <v>115</v>
      </c>
      <c r="F3" s="1" t="s">
        <v>1495</v>
      </c>
      <c r="G3" s="1" t="s">
        <v>1024</v>
      </c>
      <c r="H3" s="1" t="s">
        <v>1496</v>
      </c>
      <c r="J3" s="9" t="s">
        <v>1497</v>
      </c>
    </row>
    <row r="4" spans="1:10" ht="27.6" customHeight="1" x14ac:dyDescent="0.3">
      <c r="A4" s="2" t="s">
        <v>1498</v>
      </c>
      <c r="B4" s="3">
        <f>COUNTA(Base_consolidada!M4:M2000)</f>
        <v>68</v>
      </c>
      <c r="C4" s="2" t="s">
        <v>1499</v>
      </c>
      <c r="D4" s="4"/>
      <c r="E4" s="5" t="s">
        <v>124</v>
      </c>
      <c r="F4" s="5">
        <f>COUNTIF(Articulos_finales!B:B,"Scopus")</f>
        <v>17</v>
      </c>
      <c r="G4" s="5">
        <f>COUNTIFS(Articulos_finales!B:B,"Scopus",Articulos_finales!Q:Q,"Incluir")</f>
        <v>16</v>
      </c>
      <c r="H4" s="5">
        <f>COUNTIFS(Articulos_finales!B:B,"Scopus",Articulos_finales!Q:Q,"Reserva")</f>
        <v>1</v>
      </c>
      <c r="J4" s="10">
        <f>B5+B6</f>
        <v>13</v>
      </c>
    </row>
    <row r="5" spans="1:10" ht="28.8" customHeight="1" x14ac:dyDescent="0.3">
      <c r="A5" s="6" t="s">
        <v>1500</v>
      </c>
      <c r="B5" s="7">
        <f>COUNTIF(Duplicados_y_exclusion!G:G,"Sí")</f>
        <v>4</v>
      </c>
      <c r="C5" s="6" t="s">
        <v>1501</v>
      </c>
      <c r="D5" s="4"/>
      <c r="E5" s="8" t="s">
        <v>1502</v>
      </c>
      <c r="F5" s="8">
        <f>COUNTIF(Articulos_finales!B:B,"IEEE Xplore")</f>
        <v>0</v>
      </c>
      <c r="G5" s="8">
        <f>COUNTIFS(Articulos_finales!B:B,"IEEE Xplore",Articulos_finales!Q:Q,"Incluir")</f>
        <v>0</v>
      </c>
      <c r="H5" s="8">
        <f>COUNTIFS(Articulos_finales!B:B,"IEEE Xplore",Articulos_finales!Q:Q,"Reserva")</f>
        <v>0</v>
      </c>
    </row>
    <row r="6" spans="1:10" ht="27.6" customHeight="1" x14ac:dyDescent="0.3">
      <c r="A6" s="2" t="s">
        <v>1503</v>
      </c>
      <c r="B6" s="3">
        <f>COUNTIF(Duplicados_y_exclusion!E:E,"Revisión sistemática")+COUNTIF(Duplicados_y_exclusion!E:E,"Revisión de literatura")</f>
        <v>9</v>
      </c>
      <c r="C6" s="2" t="s">
        <v>1504</v>
      </c>
      <c r="D6" s="4"/>
      <c r="E6" s="5" t="s">
        <v>1505</v>
      </c>
      <c r="F6" s="5">
        <f>COUNTIF(Articulos_finales!B:B,"Web of Science")</f>
        <v>0</v>
      </c>
      <c r="G6" s="5">
        <f>COUNTIFS(Articulos_finales!B:B,"Web of Science",Articulos_finales!Q:Q,"Incluir")</f>
        <v>0</v>
      </c>
      <c r="H6" s="5">
        <f>COUNTIFS(Articulos_finales!B:B,"Web of Science",Articulos_finales!Q:Q,"Reserva")</f>
        <v>0</v>
      </c>
    </row>
    <row r="7" spans="1:10" ht="27.6" customHeight="1" x14ac:dyDescent="0.3">
      <c r="A7" s="6" t="s">
        <v>1506</v>
      </c>
      <c r="B7" s="7">
        <f>COUNTIFS(Duplicados_y_exclusion!H:H,"Primario",Duplicados_y_exclusion!I:I,"Mantener")</f>
        <v>55</v>
      </c>
      <c r="C7" s="6" t="s">
        <v>1507</v>
      </c>
      <c r="D7" s="4"/>
      <c r="E7" s="8" t="s">
        <v>134</v>
      </c>
      <c r="F7" s="8">
        <f>COUNTIF(Articulos_finales!B:B,"Springer Link")</f>
        <v>1</v>
      </c>
      <c r="G7" s="8">
        <f>COUNTIFS(Articulos_finales!B:B,"Springer Link",Articulos_finales!Q:Q,"Incluir")</f>
        <v>1</v>
      </c>
      <c r="H7" s="8">
        <f>COUNTIFS(Articulos_finales!B:B,"Springer Link",Articulos_finales!Q:Q,"Reserva")</f>
        <v>0</v>
      </c>
    </row>
    <row r="8" spans="1:10" x14ac:dyDescent="0.3">
      <c r="A8" s="2" t="s">
        <v>1508</v>
      </c>
      <c r="B8" s="3">
        <f>COUNTIF(Tamizaje_Tit_Abs_Keys!N:N,"Sí")</f>
        <v>22</v>
      </c>
      <c r="C8" s="2" t="s">
        <v>1509</v>
      </c>
      <c r="D8" s="4"/>
      <c r="E8" s="13" t="s">
        <v>130</v>
      </c>
      <c r="F8" s="13">
        <f>COUNTIF(Articulos_finales!B:B,"Science Direct")</f>
        <v>0</v>
      </c>
      <c r="G8" s="13">
        <f>COUNTIFS(Articulos_finales!B:B,"Science Direct",Articulos_finales!Q:Q,"Incluir")</f>
        <v>0</v>
      </c>
      <c r="H8" s="13">
        <f>COUNTIFS(Articulos_finales!B:B,"Science Direct",Articulos_finales!Q:Q,"Reserva")</f>
        <v>0</v>
      </c>
    </row>
    <row r="9" spans="1:10" x14ac:dyDescent="0.3">
      <c r="A9" s="6" t="s">
        <v>1510</v>
      </c>
      <c r="B9" s="7">
        <f>COUNTIF(Calidad_articulos!O:O,"Alta calidad")</f>
        <v>17</v>
      </c>
      <c r="C9" s="6" t="s">
        <v>1511</v>
      </c>
      <c r="D9" s="4"/>
      <c r="E9" s="93" t="s">
        <v>1512</v>
      </c>
      <c r="F9" s="93">
        <f>SUM(F4:F8)</f>
        <v>18</v>
      </c>
      <c r="G9" s="93">
        <f>SUM(G4:G8)</f>
        <v>17</v>
      </c>
      <c r="H9" s="93">
        <f>SUM(H4:H8)</f>
        <v>1</v>
      </c>
    </row>
    <row r="10" spans="1:10" ht="27.6" customHeight="1" x14ac:dyDescent="0.3">
      <c r="A10" s="2" t="s">
        <v>1513</v>
      </c>
      <c r="B10" s="3">
        <f>COUNTA(Articulos_finales!A:A)-3</f>
        <v>18</v>
      </c>
      <c r="C10" s="2" t="s">
        <v>1514</v>
      </c>
      <c r="D10" s="4"/>
      <c r="E10" s="4"/>
      <c r="F10" s="4"/>
      <c r="G10" s="4"/>
      <c r="H10" s="4"/>
    </row>
    <row r="11" spans="1:10" ht="27.6" customHeight="1" x14ac:dyDescent="0.3">
      <c r="A11" s="2" t="s">
        <v>1515</v>
      </c>
      <c r="B11" s="3">
        <f>COUNTIF(Articulos_finales!Q:Q,"Incluir")</f>
        <v>17</v>
      </c>
      <c r="C11" s="2" t="s">
        <v>1516</v>
      </c>
      <c r="D11" s="4"/>
      <c r="E11" s="4"/>
      <c r="F11" s="4"/>
      <c r="G11" s="4"/>
      <c r="H11" s="4"/>
    </row>
    <row r="12" spans="1:10" x14ac:dyDescent="0.3">
      <c r="A12" s="125" t="s">
        <v>1517</v>
      </c>
      <c r="B12" s="126"/>
      <c r="C12" s="4"/>
      <c r="D12" s="4"/>
      <c r="E12" s="4"/>
      <c r="F12" s="4"/>
      <c r="G12" s="4"/>
      <c r="H12" s="4"/>
    </row>
    <row r="13" spans="1:10" ht="60" customHeight="1" x14ac:dyDescent="0.3">
      <c r="A13" s="128" t="s">
        <v>1518</v>
      </c>
      <c r="B13" s="103"/>
      <c r="C13" s="103"/>
      <c r="D13" s="103"/>
      <c r="E13" s="103"/>
      <c r="F13" s="103"/>
      <c r="G13" s="103"/>
      <c r="H13" s="103"/>
    </row>
    <row r="14" spans="1:10" ht="60" customHeight="1" x14ac:dyDescent="0.3">
      <c r="A14" s="126"/>
      <c r="B14" s="126"/>
      <c r="C14" s="126"/>
      <c r="D14" s="126"/>
      <c r="E14" s="126"/>
      <c r="F14" s="126"/>
      <c r="G14" s="126"/>
      <c r="H14" s="126"/>
    </row>
    <row r="15" spans="1:10" x14ac:dyDescent="0.3">
      <c r="A15" s="125" t="s">
        <v>1519</v>
      </c>
      <c r="B15" s="126"/>
      <c r="C15" s="4"/>
      <c r="D15" s="4"/>
      <c r="E15" s="4"/>
      <c r="F15" s="4"/>
      <c r="G15" s="4"/>
      <c r="H15" s="4"/>
    </row>
    <row r="16" spans="1:10" ht="60" customHeight="1" x14ac:dyDescent="0.3">
      <c r="A16" s="128" t="s">
        <v>1520</v>
      </c>
      <c r="B16" s="103"/>
      <c r="C16" s="103"/>
      <c r="D16" s="103"/>
      <c r="E16" s="103"/>
      <c r="F16" s="103"/>
      <c r="G16" s="103"/>
      <c r="H16" s="103"/>
    </row>
    <row r="17" spans="1:8" ht="60" customHeight="1" x14ac:dyDescent="0.3">
      <c r="A17" s="126"/>
      <c r="B17" s="126"/>
      <c r="C17" s="126"/>
      <c r="D17" s="126"/>
      <c r="E17" s="126"/>
      <c r="F17" s="126"/>
      <c r="G17" s="126"/>
      <c r="H17" s="126"/>
    </row>
    <row r="18" spans="1:8" x14ac:dyDescent="0.3">
      <c r="A18" s="125" t="s">
        <v>1521</v>
      </c>
      <c r="B18" s="126"/>
      <c r="C18" s="4"/>
      <c r="D18" s="4"/>
      <c r="E18" s="4"/>
      <c r="F18" s="4"/>
      <c r="G18" s="4"/>
      <c r="H18" s="4"/>
    </row>
    <row r="19" spans="1:8" ht="60" customHeight="1" x14ac:dyDescent="0.3">
      <c r="A19" s="128" t="s">
        <v>1522</v>
      </c>
      <c r="B19" s="103"/>
      <c r="C19" s="103"/>
      <c r="D19" s="103"/>
      <c r="E19" s="103"/>
      <c r="F19" s="103"/>
      <c r="G19" s="103"/>
      <c r="H19" s="103"/>
    </row>
    <row r="20" spans="1:8" ht="60" customHeight="1" x14ac:dyDescent="0.3">
      <c r="A20" s="126"/>
      <c r="B20" s="126"/>
      <c r="C20" s="126"/>
      <c r="D20" s="126"/>
      <c r="E20" s="126"/>
      <c r="F20" s="126"/>
      <c r="G20" s="126"/>
      <c r="H20" s="126"/>
    </row>
    <row r="21" spans="1:8" x14ac:dyDescent="0.3">
      <c r="A21" s="125" t="s">
        <v>1523</v>
      </c>
      <c r="B21" s="126"/>
      <c r="C21" s="4"/>
      <c r="D21" s="4"/>
      <c r="E21" s="4"/>
      <c r="F21" s="4"/>
      <c r="G21" s="4"/>
      <c r="H21" s="4"/>
    </row>
    <row r="22" spans="1:8" ht="60" customHeight="1" x14ac:dyDescent="0.3">
      <c r="A22" s="127" t="s">
        <v>1524</v>
      </c>
      <c r="B22" s="103"/>
      <c r="C22" s="103"/>
      <c r="D22" s="103"/>
      <c r="E22" s="103"/>
      <c r="F22" s="103"/>
      <c r="G22" s="103"/>
      <c r="H22" s="103"/>
    </row>
    <row r="23" spans="1:8" ht="60" customHeight="1" x14ac:dyDescent="0.3">
      <c r="A23" s="126"/>
      <c r="B23" s="126"/>
      <c r="C23" s="126"/>
      <c r="D23" s="126"/>
      <c r="E23" s="126"/>
      <c r="F23" s="126"/>
      <c r="G23" s="126"/>
      <c r="H23" s="126"/>
    </row>
    <row r="24" spans="1:8" x14ac:dyDescent="0.3">
      <c r="A24" s="125" t="s">
        <v>1525</v>
      </c>
      <c r="B24" s="126"/>
      <c r="C24" s="4"/>
      <c r="D24" s="4"/>
      <c r="E24" s="4"/>
      <c r="F24" s="4"/>
      <c r="G24" s="4"/>
      <c r="H24" s="4"/>
    </row>
    <row r="25" spans="1:8" ht="60" customHeight="1" x14ac:dyDescent="0.3">
      <c r="A25" s="128" t="s">
        <v>1526</v>
      </c>
      <c r="B25" s="103"/>
      <c r="C25" s="103"/>
      <c r="D25" s="103"/>
      <c r="E25" s="103"/>
      <c r="F25" s="103"/>
      <c r="G25" s="103"/>
      <c r="H25" s="103"/>
    </row>
    <row r="26" spans="1:8" ht="60" customHeight="1" x14ac:dyDescent="0.3">
      <c r="A26" s="126"/>
      <c r="B26" s="126"/>
      <c r="C26" s="126"/>
      <c r="D26" s="126"/>
      <c r="E26" s="126"/>
      <c r="F26" s="126"/>
      <c r="G26" s="126"/>
      <c r="H26" s="126"/>
    </row>
  </sheetData>
  <mergeCells count="11">
    <mergeCell ref="A25:H26"/>
    <mergeCell ref="A13:H14"/>
    <mergeCell ref="A15:B15"/>
    <mergeCell ref="A21:B21"/>
    <mergeCell ref="A16:H17"/>
    <mergeCell ref="A19:H20"/>
    <mergeCell ref="A1:H1"/>
    <mergeCell ref="A18:B18"/>
    <mergeCell ref="A12:B12"/>
    <mergeCell ref="A22:H23"/>
    <mergeCell ref="A24: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Guia_avance</vt:lpstr>
      <vt:lpstr>Protocolo</vt:lpstr>
      <vt:lpstr>Cadenas_de_busqueda</vt:lpstr>
      <vt:lpstr>Base_consolidada</vt:lpstr>
      <vt:lpstr>Duplicados_y_exclusion</vt:lpstr>
      <vt:lpstr>Tamizaje_Tit_Abs_Keys</vt:lpstr>
      <vt:lpstr>Texto_completo</vt:lpstr>
      <vt:lpstr>Calidad_articulos</vt:lpstr>
      <vt:lpstr>Articulos_finales</vt:lpstr>
      <vt:lpstr>Articulos_finales_ok</vt:lpstr>
      <vt:lpstr>PRISMA</vt:lpstr>
      <vt:lpstr>Resumen_ejecutivo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JOSE LLUMIQUINGA �ACATO</cp:lastModifiedBy>
  <dcterms:created xsi:type="dcterms:W3CDTF">2026-09-16T15:40:04Z</dcterms:created>
  <dcterms:modified xsi:type="dcterms:W3CDTF">2026-10-03T17:32:24Z</dcterms:modified>
</cp:coreProperties>
</file>