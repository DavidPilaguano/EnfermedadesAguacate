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\Documents\7_semestre\tesis\Enfermedades de aguacate\EnfermedadesAguacate\Tallos\"/>
    </mc:Choice>
  </mc:AlternateContent>
  <xr:revisionPtr revIDLastSave="0" documentId="8_{C00472A8-5060-4990-AC11-C77BE9768885}" xr6:coauthVersionLast="47" xr6:coauthVersionMax="47" xr10:uidLastSave="{00000000-0000-0000-0000-000000000000}"/>
  <bookViews>
    <workbookView xWindow="-108" yWindow="-108" windowWidth="23256" windowHeight="12456" xr2:uid="{8332E9E7-72D4-4C19-8453-6DF598995B8A}"/>
  </bookViews>
  <sheets>
    <sheet name="Articulos_finale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1" i="1" l="1"/>
  <c r="Q21" i="1" s="1"/>
  <c r="P20" i="1"/>
  <c r="Q20" i="1" s="1"/>
  <c r="P19" i="1"/>
  <c r="Q19" i="1" s="1"/>
  <c r="P18" i="1"/>
  <c r="Q18" i="1" s="1"/>
  <c r="P17" i="1"/>
  <c r="Q17" i="1" s="1"/>
  <c r="P16" i="1"/>
  <c r="Q16" i="1" s="1"/>
  <c r="P15" i="1"/>
  <c r="Q15" i="1" s="1"/>
  <c r="P14" i="1"/>
  <c r="Q14" i="1" s="1"/>
  <c r="P13" i="1"/>
  <c r="Q13" i="1" s="1"/>
  <c r="P12" i="1"/>
  <c r="Q12" i="1" s="1"/>
  <c r="AB11" i="1"/>
  <c r="P11" i="1"/>
  <c r="Q11" i="1" s="1"/>
  <c r="AB10" i="1"/>
  <c r="P10" i="1"/>
  <c r="Q10" i="1" s="1"/>
  <c r="AB9" i="1"/>
  <c r="P9" i="1"/>
  <c r="Q9" i="1" s="1"/>
  <c r="P8" i="1"/>
  <c r="Q8" i="1" s="1"/>
  <c r="P7" i="1"/>
  <c r="Q7" i="1" s="1"/>
  <c r="P6" i="1"/>
  <c r="Q6" i="1" s="1"/>
  <c r="P5" i="1"/>
  <c r="Q5" i="1" s="1"/>
  <c r="AB4" i="1"/>
  <c r="P4" i="1"/>
  <c r="Q4" i="1" s="1"/>
  <c r="AB5" i="1" l="1"/>
  <c r="AB8" i="1"/>
  <c r="AB6" i="1"/>
  <c r="AB7" i="1"/>
  <c r="AB12" i="1" l="1"/>
</calcChain>
</file>

<file path=xl/sharedStrings.xml><?xml version="1.0" encoding="utf-8"?>
<sst xmlns="http://schemas.openxmlformats.org/spreadsheetml/2006/main" count="438" uniqueCount="296">
  <si>
    <t>Articulos_finales</t>
  </si>
  <si>
    <t>Se completa en la Actividad 6 del itinerario. Selección final razonada. Regla: Incluir si la calidad es Alta o Media y la alineación es Alta o Media; en otro caso, Reserva (se cita, pero no se usa en la síntesis). Columnas T–X solo para estudios tecnológicos.</t>
  </si>
  <si>
    <t>ID</t>
  </si>
  <si>
    <t>Base de datos</t>
  </si>
  <si>
    <t>Título completo</t>
  </si>
  <si>
    <t>Año</t>
  </si>
  <si>
    <t>Autores</t>
  </si>
  <si>
    <t>DOI</t>
  </si>
  <si>
    <t>Tipo de estudio</t>
  </si>
  <si>
    <t>Aporte principal</t>
  </si>
  <si>
    <t>Relación con el objetivo</t>
  </si>
  <si>
    <t>Grupo de patógeno</t>
  </si>
  <si>
    <t>Especie(s) confirmada(s)</t>
  </si>
  <si>
    <t>Órgano afectado</t>
  </si>
  <si>
    <t>Enfermedad y síntomas en TALLO</t>
  </si>
  <si>
    <t>Método de detección / diagnóstico</t>
  </si>
  <si>
    <t>Nivel de alineación con el objetivo</t>
  </si>
  <si>
    <t>Nivel de calidad</t>
  </si>
  <si>
    <t>Decisión final (Incluir / Reserva)</t>
  </si>
  <si>
    <t>Justificación final</t>
  </si>
  <si>
    <t>Categoría</t>
  </si>
  <si>
    <t>Modelo / técnica de IA</t>
  </si>
  <si>
    <t>Dataset</t>
  </si>
  <si>
    <t>Métrica (resultado)</t>
  </si>
  <si>
    <t>Tipo de app / plataforma</t>
  </si>
  <si>
    <t>Principios IPO / UX</t>
  </si>
  <si>
    <t>País</t>
  </si>
  <si>
    <t>RESUMEN DE LA SELECCIÓN FINAL</t>
  </si>
  <si>
    <t>A0003</t>
  </si>
  <si>
    <t>Scopus</t>
  </si>
  <si>
    <t>Colletotrichum perseae and Colletotrichum gloeosporioides sensu strictu Causing Stem Lesion and Dieback in Avocado in Italy</t>
  </si>
  <si>
    <t>Vecchio L.; Martino I.; Guarnaccia V.; Polizzi G.; Aiello D.</t>
  </si>
  <si>
    <t>10.3390/horticulturae12010111</t>
  </si>
  <si>
    <t>Primario: observación en vivero, identificación y patogenicidad</t>
  </si>
  <si>
    <t>Primer reporte de lesiones en el tallo y muerte descendente por Colletotrichum en aguacate y primera detección de C. perseae en Europa.</t>
  </si>
  <si>
    <t>RQ1 y RQ2: agente, síntomas del tallo y diferencia entre la lesión externa y la interna.</t>
  </si>
  <si>
    <t>4. Colletotrichum</t>
  </si>
  <si>
    <t>C. perseae; C. gloeosporioides s.s.</t>
  </si>
  <si>
    <t>Tallo y brotes de plantas jóvenes injertadas (fruto en inoculación)</t>
  </si>
  <si>
    <t>Lesiones necróticas en brotes y tallos, decoloración de la madera, estrías pardo-rojizas y muerte descendente desde el injerto (incidencia &gt; 45 %). La lesión externa medía 2,5–3,2 cm y la decoloración interna 12,0–12,6 cm.</t>
  </si>
  <si>
    <t>Inspección visual en vivero; aislamiento en PDA; filogenia multilocus (gapdh, chs-1, act, tub2, cal, gs, ApMat); patogenicidad con reaislamiento (Koch).</t>
  </si>
  <si>
    <t>Alto</t>
  </si>
  <si>
    <t>Calidad alta y síntomas del tallo descritos con detalle; aporta la evidencia de que lo visible subestima el daño interno.</t>
  </si>
  <si>
    <t>Fitopatológico</t>
  </si>
  <si>
    <t>—</t>
  </si>
  <si>
    <t>Italia (Sicilia)</t>
  </si>
  <si>
    <t>Estudios evaluados (elegibles)</t>
  </si>
  <si>
    <t>A0006</t>
  </si>
  <si>
    <t>Ecofriendly management of anthracnose on avocado caused by Colletotrichum perseae in the Mediterranean basin</t>
  </si>
  <si>
    <t>Vecchio L.; Arrebola E.; Polizzi G.; Vitale A.</t>
  </si>
  <si>
    <t>10.1002/jsf2.70088</t>
  </si>
  <si>
    <t>Primario: experimental de manejo (biocontrol)</t>
  </si>
  <si>
    <t>Los bioformulados redujeron entre 37 y 91 % las lesiones por C. perseae en ramillas; Trichoderma asperellum T34 redujo un 76,78 % la lesión interna en plantas.</t>
  </si>
  <si>
    <t>RQ1 y RQ2: confirma lesiones en ramillas y tallo por C. perseae; aporte secundario para el diagnóstico.</t>
  </si>
  <si>
    <t>C. perseae (aislamiento APIN16)</t>
  </si>
  <si>
    <t>Ramillas desprendidas, tallo de plantas en maceta y fruto</t>
  </si>
  <si>
    <t>Lesiones necróticas oscuras y alargadas en ramillas y tallos (Fig. 2); lesión interna media de 5,47 cm en el testigo.</t>
  </si>
  <si>
    <t>Medición destructiva de la lesión interna; ANOVA y comparación de medias.</t>
  </si>
  <si>
    <t>Medio</t>
  </si>
  <si>
    <t>Calidad alta; es un estudio de manejo, pero documenta visualmente las lesiones del tallo.</t>
  </si>
  <si>
    <t>Italia y España (ensayo en invernadero en Málaga)</t>
  </si>
  <si>
    <t>Incluidos en la síntesis</t>
  </si>
  <si>
    <t>A0009</t>
  </si>
  <si>
    <t>Emerging pathogens and disease dynamics threatening avocado production in southern Türkiye</t>
  </si>
  <si>
    <t>Çalış Ö.; Çelik S.; Fidan H.; Tek M.I.; Shah M.; Tozlu I.; Wani S.H.</t>
  </si>
  <si>
    <t>10.1007/s41348-024-00954-6</t>
  </si>
  <si>
    <t>Primario: encuesta de campo, identificación y patogenicidad</t>
  </si>
  <si>
    <t>Incidencia de 33,89 % en 2537 árboles de 11 regiones; P. cinnamomi, F. solani y F. oxysporum causaron los cancros de rama más severos en inoculación.</t>
  </si>
  <si>
    <t>RQ1 y RQ2: agentes, región, síntomas en ramillas y ramas, e incidencia.</t>
  </si>
  <si>
    <t>Varios</t>
  </si>
  <si>
    <t>C. gloeosporioides; F. solani; F. oxysporum; N. parvum; L. theobromae; N. rosae; P. cinnamomi y M. phaseolina (tentativas, por morfología)</t>
  </si>
  <si>
    <t>Copa, ramillas, ramas, hojas y raíz</t>
  </si>
  <si>
    <t>Muerte descendente de 1 a 5 ramillas en la copa con lesiones &gt; 10 cm en el 60–65 % de los árboles jóvenes; cancro de rama.</t>
  </si>
  <si>
    <t>Registro visual de síntomas; aislamiento en PDA; morfología; PCR con cebadores específicos e ITS; inoculación en ramas (área de lesión).</t>
  </si>
  <si>
    <t>Calidad alta; muestra amplia con síntomas del tallo y de las ramas.</t>
  </si>
  <si>
    <t>Turquía (Antalya)</t>
  </si>
  <si>
    <t xml:space="preserve">   Fitopatológicos</t>
  </si>
  <si>
    <t>A0014</t>
  </si>
  <si>
    <t>Four new fungal pathogens causing avocado dieback in Brazil</t>
  </si>
  <si>
    <t>Silva T.F.; Pimentel Duarte J.L.; Vélez-Olmedo J.B.; Anderson dos Santos Vieira W.; Bassay Blum L.E.; Pinho D.B.</t>
  </si>
  <si>
    <t>10.1016/j.cropro.2025.107168</t>
  </si>
  <si>
    <t>Primario: nota de enfermedad con identificación y patogenicidad</t>
  </si>
  <si>
    <t>Primer reporte mundial de cuatro hongos causantes de muerte descendente del aguacate.</t>
  </si>
  <si>
    <t>RQ1 y RQ2: nuevos agentes de la muerte descendente en Sudamérica.</t>
  </si>
  <si>
    <t>Neopestalotiopsis arecacearum; Neocosmospora bostrycoides; Nectria pseudotrichia; Cytospora viridistroma</t>
  </si>
  <si>
    <t>Tallo</t>
  </si>
  <si>
    <t>Marchitez, caída intensa de hojas, muerte descendente y necrosis interna; en plántulas, oscurecimiento del sistema vascular.</t>
  </si>
  <si>
    <t>Aislamiento de tallos sintomáticos; morfología; filogenia multilocus (TEF1-α, RPB2, β-tubulina, ACT, ITS y LSU); patogenicidad en plántulas y frutos.</t>
  </si>
  <si>
    <t>Calidad alta; identifica agentes del tallo, aunque la muestra es pequeña.</t>
  </si>
  <si>
    <t>Brasil (São Paulo)</t>
  </si>
  <si>
    <t xml:space="preserve">   Tecnológicos</t>
  </si>
  <si>
    <t>A0015</t>
  </si>
  <si>
    <t>Fungal Pathogens Associated with Aerial Symptoms of Avocado (Persea americana Mill.) in Tenerife (Canary Islands, Spain) Focused on Species of the Family Botryosphaeriaceae</t>
  </si>
  <si>
    <t>Hernández D.; García-Pérez O.; Perera S.; González-Carracedo M.A.; Rodríguez-Pérez A.; Siverio F.</t>
  </si>
  <si>
    <t>10.3390/microorganisms11030585</t>
  </si>
  <si>
    <t>Primario: prospección de campo, identificación y patogenicidad</t>
  </si>
  <si>
    <t>La necrosis de ramas apareció en el 90 % de 40 huertos; primer reporte de L. brasiliensis y de N. cryptoaustrale/stellenboschiana en aguacate.</t>
  </si>
  <si>
    <t>RQ1 y RQ2: síntomas aéreos detallados y advertencia sobre síntomas parecidos causados por otros hongos.</t>
  </si>
  <si>
    <t>3. Botryosphaeriaceae</t>
  </si>
  <si>
    <t>N. australe; N. cryptoaustrale/stellenboschiana; N. luteum; N. parvum; L. brasiliensis</t>
  </si>
  <si>
    <t>Ramas, tronco, inflorescencias y fruto</t>
  </si>
  <si>
    <t>Necrosis de ramas desde el ápice; cancros en ramas y tronco (7,5 % de los huertos) con exudado azucarado que seca en polvo blanco-amarillento; corteza agrietada, oscura y hundida; necrosis en cuña en el xilema.</t>
  </si>
  <si>
    <t>Aislamiento; ITS, tub2 y tef1 (y rpb2); patogenicidad en el tallo (herida e inoculación en el corte de poda).</t>
  </si>
  <si>
    <t>Calidad alta y descripción muy detallada de síntomas del tallo.</t>
  </si>
  <si>
    <t>España (Tenerife, Islas Canarias)</t>
  </si>
  <si>
    <t>En reserva (se citan, no entran en la síntesis)</t>
  </si>
  <si>
    <t>A0016</t>
  </si>
  <si>
    <t>Fungal Species of Botryosphaeriaceae Associated With Avocado Dieback in Southern Spain</t>
  </si>
  <si>
    <t>Crespo M.; Guirado-Manzano L.; Sarmiento D.; Guirado E.; de Vicente A.; Fernández-Ortuño D.; Cazorla F.M.; Arrebola E.</t>
  </si>
  <si>
    <t>10.1111/ppa.70079</t>
  </si>
  <si>
    <t>Botryosphaeriaceae, sobre todo Neofusicoccum (110 de 252 aislamientos), es la causa principal de la muerte descendente en el sur de España, en relación con la escasez de agua.</t>
  </si>
  <si>
    <t>RQ1 y RQ2: agentes, región y síntomas visibles e internos del tallo.</t>
  </si>
  <si>
    <t>N. parvum; N. luteum; N. australe; L. theobromae; Diaporthe foeniculina</t>
  </si>
  <si>
    <t>Ramas, haces vasculares y fruto</t>
  </si>
  <si>
    <t>Tejidos secos y necróticos desde las yemas florales hacia hojas, tallos y ramas; frutos momificados adheridos; haces vasculares rojizos; depósitos de perseitol en las ramas.</t>
  </si>
  <si>
    <t>Aislamiento en PDA; ITS, β-tubulina y EF1; UP-PCR; patogenicidad en plantas, tallos desprendidos y frutos con reidentificación (Koch).</t>
  </si>
  <si>
    <t>Calidad alta; síntomas del tallo ilustrados y muestra amplia.</t>
  </si>
  <si>
    <t>España (Málaga, Granada y Huelva)</t>
  </si>
  <si>
    <t>Alineación alta</t>
  </si>
  <si>
    <t>A0017</t>
  </si>
  <si>
    <t>Genome assembly and annotation of Rugonectria rugulosa, a fungus associated with avocado (Persea americana cv. Hass) trunk canker in Colombia</t>
  </si>
  <si>
    <t>Rincón López J.D.; Chacón-Vargas K.; Clavijo-Buriticá D.C.; García-Merchán V.H.</t>
  </si>
  <si>
    <t>10.1128/mra.00512-26</t>
  </si>
  <si>
    <t>Primario: anuncio de genoma</t>
  </si>
  <si>
    <t>Genoma de 53 Mb de R. rugulosa aislado de cancros activos del tronco.</t>
  </si>
  <si>
    <t>RQ1: registra un agente del cancro del tronco en Latinoamérica.</t>
  </si>
  <si>
    <t>6. Nectria</t>
  </si>
  <si>
    <t>Rugonectria rugulosa</t>
  </si>
  <si>
    <t>Tronco</t>
  </si>
  <si>
    <t>Lesiones activas de cancro del tronco; no se describen síntomas.</t>
  </si>
  <si>
    <t>Aislamiento en PDA; ITS; secuenciación del genoma (Illumina).</t>
  </si>
  <si>
    <t>Bajo</t>
  </si>
  <si>
    <t>Calidad media, pero alineación baja: no describe síntomas ni prueba la patogenicidad. Queda en reserva (se cita como antecedente regional, no entra en la síntesis).</t>
  </si>
  <si>
    <t>Colombia (Quindío)</t>
  </si>
  <si>
    <t>Alineación media</t>
  </si>
  <si>
    <t>A0018</t>
  </si>
  <si>
    <t>Identification and Pathogenicity of Botryosphaeriaceae, Colletotrichum, and Phytophthora Species Associated with Avocado Diseases in Italy</t>
  </si>
  <si>
    <t>Linaldeddu B.T.; Bregant C.; Muscas J.; Maddau L.; Vecchio L.; Polizzi G.; Aiello D.</t>
  </si>
  <si>
    <t>10.3390/agriculture16101035</t>
  </si>
  <si>
    <t>Primario: prospección en vivero y huerto, identificación y patogenicidad</t>
  </si>
  <si>
    <t>22 especies en 430 muestras; coinfecciones frecuentes; advierte que Phytophthora y Botryosphaeriaceae pueden verse iguales en el tronco, lo que limita el diagnóstico por imagen con IA.</t>
  </si>
  <si>
    <t>RQ1, RQ2 y RQ5: agentes, síntomas diferenciales y límites del diagnóstico por imagen.</t>
  </si>
  <si>
    <t>N. australe; N. parvum; P. cinnamomi; P. palmivora; P. citrophthora; Colletotrichum spp. (22 especies)</t>
  </si>
  <si>
    <t>Hojas, fruto, ramas, tallo, cuello y raíz</t>
  </si>
  <si>
    <t>Cancros hundidos con exudado blanco duro y sector necrótico en V (Botryosphaeriaceae); necrosis oscura de corteza con exudado negruzco sin hundimiento (Phytophthora); cancros en el 86 % de los árboles.</t>
  </si>
  <si>
    <t>Aislamiento en medios no selectivos y selectivos; cebos para Phytophthora; ITS, tef1-α y gapdh; bioensayos por órgano.</t>
  </si>
  <si>
    <t>Calidad alta; es el estudio que mejor distingue visualmente los síntomas del tronco.</t>
  </si>
  <si>
    <t>Italia (Cerdeña y Sicilia)</t>
  </si>
  <si>
    <t>Alineación baja</t>
  </si>
  <si>
    <t>A0022</t>
  </si>
  <si>
    <t>Identification, pathogenicity and distribution of the causal agents of dieback in avocado orchards in Spain</t>
  </si>
  <si>
    <t>Arjona-Girona I.; Ruano-Rosa D.; López-Herrera C.J.</t>
  </si>
  <si>
    <t>10.5424/sjar/2019171-13561</t>
  </si>
  <si>
    <t>Primer estudio de cancros de rama en España: N. parvum fue el 50 % de 68 aislamientos y el más virulento.</t>
  </si>
  <si>
    <t>RQ1 y RQ2: agentes, distribución y síntomas de los cancros de rama.</t>
  </si>
  <si>
    <t>N. parvum; C. gloeosporioides; N. luteum; N. australe; N. mediterraneum; L. theobromae</t>
  </si>
  <si>
    <t>Ramas y ramillas</t>
  </si>
  <si>
    <t>Ramas secas, necrosis externa en ramillas, lesiones internas en ramas y lesiones externas con exudado (cancros pardo-rojizos con exudado blanco).</t>
  </si>
  <si>
    <t>Aislamiento en PDA; morfología; ITS, β-tubulina y EF1-α; patogenicidad y AUDPC.</t>
  </si>
  <si>
    <t>Calidad alta y síntomas de la rama ilustrados.</t>
  </si>
  <si>
    <t>España (Málaga)</t>
  </si>
  <si>
    <t>Comprobación: incluidos + reserva = evaluados</t>
  </si>
  <si>
    <t>A0024</t>
  </si>
  <si>
    <t>Integrated Strategies to Reduce Botryosphaeriaceae-Associated Dieback in Avocado Under Mediterranean Climatic Stress</t>
  </si>
  <si>
    <t>Guirado-Manzano L.; Santamaría-Ortega J.F.; Sarmiento D.; Guirado E.; Pulido-Ruiz M.; de Vicente A.; Fernández-Ortuño D.; Cazorla F.M.; Arrebola E.</t>
  </si>
  <si>
    <t>10.3390/horticulturae12060673</t>
  </si>
  <si>
    <t>Primario: experimental de manejo en campo y mesocosmos</t>
  </si>
  <si>
    <t>El ácido giberélico redujo un 28 % la incidencia de la muerte descendente; el estrés hídrico produjo la mayor severidad y los árboles de 1–2 años fueron los más susceptibles.</t>
  </si>
  <si>
    <t>RQ2: escala visual de severidad útil para etiquetar imágenes; factores de estrés.</t>
  </si>
  <si>
    <t>N. parvum; N. luteum; Lasiodiplodia sp. (inoculación)</t>
  </si>
  <si>
    <t>Ramillas florales y ramas</t>
  </si>
  <si>
    <t>Muerte descendente que inicia en las ramillas florales.</t>
  </si>
  <si>
    <t>Escala visual de 4 categorías (0; ≤ 15 %; 15–50 %; &gt; 50 %); aislamiento; trampas de esporas con qPCR.</t>
  </si>
  <si>
    <t>Calidad alta; estudio de manejo cuyo aporte principal para la app es la escala visual.</t>
  </si>
  <si>
    <t>A0025</t>
  </si>
  <si>
    <t>Lasiodiplodia theobromae disease symptom development in young avocado (Persea americana L.) plants depends on the inoculation method</t>
  </si>
  <si>
    <t>Rodríguez-Gálvez E.; Haro-Diaz C.; Maza-Aguirre S.; Canahuire-Castillo F.; Sullón-Saucedo J.; Deising H.B.</t>
  </si>
  <si>
    <t>10.1007/s40858-025-00700-9</t>
  </si>
  <si>
    <t>Primario: experimental (método de inoculación)</t>
  </si>
  <si>
    <t>La necrosis interna del tallo avanza antes que la externa, con cualquier método de inoculación.</t>
  </si>
  <si>
    <t>RQ2 y RQ5: el síntoma visible subestima el avance de la infección.</t>
  </si>
  <si>
    <t>2. Lasiodiplodia</t>
  </si>
  <si>
    <t>L. theobromae (aislamiento LA-VLCA3)</t>
  </si>
  <si>
    <t>Tallo de plantas jóvenes</t>
  </si>
  <si>
    <t>Necrosis externa e interna del tallo; la interna avanza antes y más lejos que la externa.</t>
  </si>
  <si>
    <t>Inoculación en el tallo medio y en el ápice; medición longitudinal de la necrosis externa e interna.</t>
  </si>
  <si>
    <t>Calidad alta y evidencia directa sobre lo que puede ver una fotografía.</t>
  </si>
  <si>
    <t>Perú (Piura)</t>
  </si>
  <si>
    <t>A0031</t>
  </si>
  <si>
    <t>Phytophthora Root Rot Modifies the Composition of the Avocado Rhizosphere Microbiome and Increases the Abundance of Opportunistic Fungal Pathogens</t>
  </si>
  <si>
    <t>Solís-García I.A.; Ceballos-Luna O.; Cortazar-Murillo E.M.; Desgarennes D.; Garay-Serrano E.; Patiño-Conde V.; Guevara-Avendaño E.; Méndez-Bravo A.; Reverchon F.</t>
  </si>
  <si>
    <t>10.3389/fmicb.2020.574110</t>
  </si>
  <si>
    <t>Primario: microbioma de la rizosfera y patogenicidad</t>
  </si>
  <si>
    <t>Además de los cambios en la rizosfera, Fusarium spp. y Lasiodiplodia sp. causaron necrosis en tallos de aguacate inoculados.</t>
  </si>
  <si>
    <t>RQ1 y RQ2: patógenos oportunistas capaces de necrosar el tallo; escala de necrosis 0–3.</t>
  </si>
  <si>
    <t>F. solani (Fusarium spp.); Lasiodiplodia sp.; Mortierella sp.; Scytalidium sp.</t>
  </si>
  <si>
    <t>Rizosfera y tallos desprendidos (ensayo)</t>
  </si>
  <si>
    <t>En tallos inoculados: necrosis vascular interna, necrosis externa y marchitez (escala 0–3).</t>
  </si>
  <si>
    <t>Secuenciación de 16S e ITS; aislamiento; ensayo en tallo desprendido con escala de necrosis 0–3; reaislamiento (Koch).</t>
  </si>
  <si>
    <t>Calidad alta; la información del tallo es un objetivo secundario.</t>
  </si>
  <si>
    <t>México (Veracruz)</t>
  </si>
  <si>
    <t>A0038</t>
  </si>
  <si>
    <t>Unveiling the Predisposing Factors for the Development of Branch Canker and Dieback in Avocado: A Case of Study in Chilean Orchards</t>
  </si>
  <si>
    <t>Valencia A.L.; Saavedra-Torrico J.; Rosales I.M.; Mártiz J.; Retamales A.; Link A.; Gil P.M.</t>
  </si>
  <si>
    <t>10.3390/horticulturae8121121</t>
  </si>
  <si>
    <t>Primario: estudio observacional multivariado</t>
  </si>
  <si>
    <t>La incidencia del cancro y la muerte descendente (31–100 % en 9 de 16 huertos) se asoció a la edad, el volumen de copa y el diámetro del tronco; heladas y exceso de riego como factores secundarios.</t>
  </si>
  <si>
    <t>RQ1 y RQ2: agentes, factores predisponentes y escala visual de severidad.</t>
  </si>
  <si>
    <t>Dothiorella iberica; Diplodia mutila; D. seriata; D. pseudoseriata; N. australe; N. nonquaesitum; N. parvum</t>
  </si>
  <si>
    <t>Ramas, ramillas y tronco</t>
  </si>
  <si>
    <t>Cancros con corteza friable, protuberancias rugosas y exudados blanquecinos a pardos de perseitol; necrosis interna; ramillas con hojas pardas y frutos negros secos.</t>
  </si>
  <si>
    <t>Incidencia visual por huerto; escala de severidad 0–9; aislamiento en PDA y morfología (especies confirmadas por ADN en un estudio previo); PCA y PLS-DA.</t>
  </si>
  <si>
    <t>Calidad alta; aporta síntomas y una escala visual, aunque su foco son los factores predisponentes.</t>
  </si>
  <si>
    <t>Chile (Coquimbo a O’Higgins)</t>
  </si>
  <si>
    <t>T0002</t>
  </si>
  <si>
    <t>ApaltAI: a web-based diagnostic system with a sequential voting architecture for detecting anthracnose and scab in avocado fruit</t>
  </si>
  <si>
    <t>2026</t>
  </si>
  <si>
    <t>Moreano M.; Sosa A.; Mauricio D.; Rivera L.; Santisteban J.</t>
  </si>
  <si>
    <t>10.3389/fpls.2026.1736123</t>
  </si>
  <si>
    <t>Primario: desarrollo y evaluación de un sistema</t>
  </si>
  <si>
    <t>Arquitectura de votación secuencial en dos etapas desplegada en una plataforma web para diagnosticar antracnosis y roña.</t>
  </si>
  <si>
    <t>RQ3 y RQ4: arquitectura, métricas y despliegue (referencia de método; no aborda el tallo).</t>
  </si>
  <si>
    <t>Otro/No aplica</t>
  </si>
  <si>
    <t>Fruto (referencia de método)</t>
  </si>
  <si>
    <t>Clasificación de imágenes con aprendizaje profundo.</t>
  </si>
  <si>
    <t>Calidad alta; referencia de arquitectura y despliegue, no de enfermedades del tallo.</t>
  </si>
  <si>
    <t>Tecnológico</t>
  </si>
  <si>
    <t>Ensamble VotingBS de cinco CNN (ResNet50, InceptionV3, EfficientNetB2, VGG16 y DenseNet121) en dos etapas</t>
  </si>
  <si>
    <t>674 imágenes de fruto (351 de Kaggle y el resto de fuentes en línea verificadas); 3 clases</t>
  </si>
  <si>
    <t>Exactitud 99,03 %; precisión 98,92 %; exhaustividad 98,89 % (validación hold-out 85/15)</t>
  </si>
  <si>
    <t>Plataforma web adaptable al móvil; inferencia en servidor (Spring Boot)</t>
  </si>
  <si>
    <t>Interfaz para usuarios no técnicos; pruebas de aceptación con agricultores pendientes</t>
  </si>
  <si>
    <t>Perú</t>
  </si>
  <si>
    <t>T0009</t>
  </si>
  <si>
    <t>Plants disease detection and identification system using AI and computer vision techniques</t>
  </si>
  <si>
    <t>Iqbal A.; Ahmed I.; Rehman S.; Alzahrani A.S.</t>
  </si>
  <si>
    <t>10.7717/peerj-cs.3509</t>
  </si>
  <si>
    <t>Primario: comparación de modelos</t>
  </si>
  <si>
    <t>Con un conjunto propio de campo, VGG16 (98 %) y DETR (96 %) superaron a la CNN propia, RF y YOLO; YOLO y DETR son viables en tiempo real.</t>
  </si>
  <si>
    <t>RQ3: modelos, conjunto de campo y métricas; RQ4: viabilidad de una app.</t>
  </si>
  <si>
    <t>Hoja de trigo y guisante (referencia de método)</t>
  </si>
  <si>
    <t>Clasificación y detección con aprendizaje profundo.</t>
  </si>
  <si>
    <t>Calidad alta; referencia de comparación de modelos con datos de campo.</t>
  </si>
  <si>
    <t>RF, VGG16, CNN propia, YOLOv5, YOLOv8 y DETR</t>
  </si>
  <si>
    <t>Conjunto propio de campo fotografiado con teléfono de 64 MP: trigo (4 clases) y guisante (3180 imágenes, 4 clases)</t>
  </si>
  <si>
    <t>Exactitud: VGG16 98 %, DETR 96 %, CNN 92 %, RF 89 %, YOLOv8 87 %, YOLOv5 80 % (80/20 y validación cruzada)</t>
  </si>
  <si>
    <t>Propone una app móvil; analiza el uso en tiempo real</t>
  </si>
  <si>
    <t>No considera la IPO</t>
  </si>
  <si>
    <t>Pakistán</t>
  </si>
  <si>
    <t>T0010</t>
  </si>
  <si>
    <t>Deep Learning Based Mobile Application for Automated Plant Disease Detection</t>
  </si>
  <si>
    <t>2025</t>
  </si>
  <si>
    <t>Ramana Reddy B.; Kalnoor G.; Devashish M.; Sai Karthik Reddy P.</t>
  </si>
  <si>
    <t>10.1109/access.2025.3581099</t>
  </si>
  <si>
    <t>App móvil con CNN, porcentaje de severidad y mapa Grad-CAM, con respuesta de unos 2 s.</t>
  </si>
  <si>
    <t>RQ3 y RQ4: modelo, métricas, app, inferencia y presentación del resultado.</t>
  </si>
  <si>
    <t>Hoja (referencia de método)</t>
  </si>
  <si>
    <t>Clasificación con CNN y estimación de severidad con OpenCV.</t>
  </si>
  <si>
    <t>Calidad alta; referencia directa de app móvil de diagnóstico.</t>
  </si>
  <si>
    <t>CNN propia (PyTorch); severidad con OpenCV; Grad-CAM</t>
  </si>
  <si>
    <t>Subconjunto binario (sano / enfermo) de PlantVillage</t>
  </si>
  <si>
    <t>Exactitud 92,06 %; precisión, exhaustividad y F1 ≈ 90 % (prueba hold-out)</t>
  </si>
  <si>
    <t>App React Native; inferencia en servidor Flask (~2 s); inferencia sin conexión con TensorFlow Lite como trabajo futuro</t>
  </si>
  <si>
    <t>Muestra la enfermedad, la confianza, la severidad y el Grad-CAM; pruebas de usuario informales</t>
  </si>
  <si>
    <t>India</t>
  </si>
  <si>
    <t>T0011</t>
  </si>
  <si>
    <t>Smartphone-Based Citizen Science Tool for Plant Disease and Insect Pest Detection Using Artificial Intelligence</t>
  </si>
  <si>
    <t>2024</t>
  </si>
  <si>
    <t>Christakakis P.; Papadopoulou G.; Mikos G.; Kalogiannidis N.; Ioannidis D.; Tzovaras D.; Pechlivani E.M.</t>
  </si>
  <si>
    <t>10.3390/technologies12070101</t>
  </si>
  <si>
    <t>App de ciencia ciudadana para iOS y Android con detección por YOLOv8, probada en campo con agricultores y agrónomos.</t>
  </si>
  <si>
    <t>RQ3 y RQ4: detección, despliegue y evaluación con usuarios.</t>
  </si>
  <si>
    <t>Hoja de tomate (referencia de método)</t>
  </si>
  <si>
    <t>Detección de objetos con YOLOv8.</t>
  </si>
  <si>
    <t>Calidad alta; único estudio con evaluación formal de usuarios.</t>
  </si>
  <si>
    <t>YOLOv8 (variantes n a x; se eligió YOLOv8l)</t>
  </si>
  <si>
    <t>659 imágenes de campo e invernadero (EDEN Library) con 8710 anotaciones</t>
  </si>
  <si>
    <t>mAP50 70,2 % (conjunto de validación)</t>
  </si>
  <si>
    <t>App iOS y Android; sistema de apoyo a la decisión en servidor (API REST, PostgreSQL, Keycloak)</t>
  </si>
  <si>
    <t>Prueba de campo con 50 usuarios (20 agrónomos y 30 agricultores) y cuestionario de experiencia</t>
  </si>
  <si>
    <t>Grecia y España</t>
  </si>
  <si>
    <t>T0013</t>
  </si>
  <si>
    <t>Springer Link</t>
  </si>
  <si>
    <t>A three-tier deep learning framework with mobile application integration for multi-crop disease diagnosis</t>
  </si>
  <si>
    <t>Kochhar, Aarti; Narang, Gagan; Patel, Shashikant; Kaur, Harleen; Singla, Chetan; Pateriya, Brijendra; Galdelli, Alessandro</t>
  </si>
  <si>
    <t>10.1007/s44163-026-01062-0</t>
  </si>
  <si>
    <t>Marco de tres capas con app Android para 19 enfermedades de cinco cultivos; el desempeño varió de 44 a 95 % según el cultivo.</t>
  </si>
  <si>
    <t>RQ3 y RQ4: modelos, validación cruzada, app y dependencia de Internet.</t>
  </si>
  <si>
    <t>Clasificación con CNN y VGG-16.</t>
  </si>
  <si>
    <t>Calidad alta; referencia de app móvil y de sus limitaciones de conectividad.</t>
  </si>
  <si>
    <t>CNN y VGG-16 optimizado (10 modelos)</t>
  </si>
  <si>
    <t>Imágenes de campo (Ludhiana) y públicas; 19 clases de enfermedad en 5 cultivos</t>
  </si>
  <si>
    <t>Exactitud de 44,15 % (arroz) a 95,23 % (maíz), con validación cruzada estratificada repetida</t>
  </si>
  <si>
    <t>App Android (Flutter) de tres capas; inferencia en servidor; requiere Internet estable</t>
  </si>
  <si>
    <t>Diseño centrado en el usuario (análisis de necesidades, interfaz sencilla y pruebas), sin evaluación formal</t>
  </si>
  <si>
    <t>India (Punjab)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</si>
</sst>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i/>
      <sz val="9"/>
      <color rgb="FF9C5700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Calibri"/>
      <family val="2"/>
    </font>
    <font>
      <sz val="9"/>
      <name val="Arial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AF3FF"/>
      </patternFill>
    </fill>
    <fill>
      <patternFill patternType="solid">
        <fgColor rgb="FF1F3864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andre/Downloads/metodologia/tallos/SLR_SmartAgriculture/03_Matriz_SLR/SLR_tallos_aguacate_PLANTILLA_v5.xlsx" TargetMode="External"/><Relationship Id="rId2" Type="http://schemas.openxmlformats.org/officeDocument/2006/relationships/externalLinkPath" Target="file:///C:\Users\andre\Downloads\metodologia\tallos\SLR_SmartAgriculture\03_Matriz_SLR\SLR_tallos_aguacate_PLANTILLA_v5.xlsx" TargetMode="External"/><Relationship Id="rId1" Type="http://schemas.openxmlformats.org/officeDocument/2006/relationships/externalLinkPath" Target="/Users/andre/Downloads/metodologia/tallos/SLR_SmartAgriculture/03_Matriz_SLR/SLR_tallos_aguacate_PLANTILLA_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uia_avance"/>
      <sheetName val="Protocolo"/>
      <sheetName val="Cadenas_de_busqueda"/>
      <sheetName val="Base_consolidada"/>
      <sheetName val="Duplicados_y_exclusion"/>
      <sheetName val="Tamizaje_Tit_Abs_Keys"/>
      <sheetName val="Texto_completo"/>
      <sheetName val="Calidad_articulos"/>
      <sheetName val="Articulos_finales"/>
      <sheetName val="Articulos_finales_ok"/>
      <sheetName val="PRISMA"/>
      <sheetName val="Resumen_ejecutiv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4" t="str">
            <v>A0003</v>
          </cell>
          <cell r="O4" t="str">
            <v>Alta calidad</v>
          </cell>
        </row>
        <row r="5">
          <cell r="A5" t="str">
            <v>A0006</v>
          </cell>
          <cell r="O5" t="str">
            <v>Alta calidad</v>
          </cell>
        </row>
        <row r="6">
          <cell r="A6" t="str">
            <v>A0009</v>
          </cell>
          <cell r="O6" t="str">
            <v>Alta calidad</v>
          </cell>
        </row>
        <row r="7">
          <cell r="A7" t="str">
            <v>A0014</v>
          </cell>
          <cell r="O7" t="str">
            <v>Alta calidad</v>
          </cell>
        </row>
        <row r="8">
          <cell r="A8" t="str">
            <v>A0015</v>
          </cell>
          <cell r="O8" t="str">
            <v>Alta calidad</v>
          </cell>
        </row>
        <row r="9">
          <cell r="A9" t="str">
            <v>A0016</v>
          </cell>
          <cell r="O9" t="str">
            <v>Alta calidad</v>
          </cell>
        </row>
        <row r="10">
          <cell r="A10" t="str">
            <v>A0017</v>
          </cell>
          <cell r="O10" t="str">
            <v>Media calidad</v>
          </cell>
        </row>
        <row r="11">
          <cell r="A11" t="str">
            <v>A0018</v>
          </cell>
          <cell r="O11" t="str">
            <v>Alta calidad</v>
          </cell>
        </row>
        <row r="12">
          <cell r="A12" t="str">
            <v>A0022</v>
          </cell>
          <cell r="O12" t="str">
            <v>Alta calidad</v>
          </cell>
        </row>
        <row r="13">
          <cell r="A13" t="str">
            <v>A0024</v>
          </cell>
          <cell r="O13" t="str">
            <v>Alta calidad</v>
          </cell>
        </row>
        <row r="14">
          <cell r="A14" t="str">
            <v>A0025</v>
          </cell>
          <cell r="O14" t="str">
            <v>Alta calidad</v>
          </cell>
        </row>
        <row r="15">
          <cell r="A15" t="str">
            <v>A0031</v>
          </cell>
          <cell r="O15" t="str">
            <v>Alta calidad</v>
          </cell>
        </row>
        <row r="16">
          <cell r="A16" t="str">
            <v>A0038</v>
          </cell>
          <cell r="O16" t="str">
            <v>Alta calidad</v>
          </cell>
        </row>
        <row r="17">
          <cell r="A17" t="str">
            <v>T0002</v>
          </cell>
          <cell r="O17" t="str">
            <v>Alta calidad</v>
          </cell>
        </row>
        <row r="18">
          <cell r="A18" t="str">
            <v>T0009</v>
          </cell>
          <cell r="O18" t="str">
            <v>Alta calidad</v>
          </cell>
        </row>
        <row r="19">
          <cell r="A19" t="str">
            <v>T0010</v>
          </cell>
          <cell r="O19" t="str">
            <v>Alta calidad</v>
          </cell>
        </row>
        <row r="20">
          <cell r="A20" t="str">
            <v>T0011</v>
          </cell>
          <cell r="O20" t="str">
            <v>Alta calidad</v>
          </cell>
        </row>
        <row r="21">
          <cell r="A21" t="str">
            <v>T0013</v>
          </cell>
          <cell r="O21" t="str">
            <v>Alta calidad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05AA-98F1-4AAD-9E08-AAA07E760334}">
  <dimension ref="A1:AB21"/>
  <sheetViews>
    <sheetView tabSelected="1" topLeftCell="A8" zoomScale="83" workbookViewId="0">
      <selection activeCell="AE4" sqref="AE4"/>
    </sheetView>
  </sheetViews>
  <sheetFormatPr baseColWidth="10" defaultRowHeight="14.4" x14ac:dyDescent="0.3"/>
  <sheetData>
    <row r="1" spans="1:28" ht="17.5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8" ht="28.8" customHeight="1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8" ht="27.6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AA3" s="5" t="s">
        <v>27</v>
      </c>
      <c r="AB3" s="6"/>
    </row>
    <row r="4" spans="1:28" ht="120" customHeight="1" x14ac:dyDescent="0.3">
      <c r="A4" s="7" t="s">
        <v>28</v>
      </c>
      <c r="B4" s="7" t="s">
        <v>29</v>
      </c>
      <c r="C4" s="7" t="s">
        <v>30</v>
      </c>
      <c r="D4" s="7">
        <v>2026</v>
      </c>
      <c r="E4" s="7" t="s">
        <v>31</v>
      </c>
      <c r="F4" s="7" t="s">
        <v>32</v>
      </c>
      <c r="G4" s="7" t="s">
        <v>33</v>
      </c>
      <c r="H4" s="7" t="s">
        <v>34</v>
      </c>
      <c r="I4" s="7" t="s">
        <v>35</v>
      </c>
      <c r="J4" s="7" t="s">
        <v>36</v>
      </c>
      <c r="K4" s="7" t="s">
        <v>37</v>
      </c>
      <c r="L4" s="7" t="s">
        <v>38</v>
      </c>
      <c r="M4" s="7" t="s">
        <v>39</v>
      </c>
      <c r="N4" s="7" t="s">
        <v>40</v>
      </c>
      <c r="O4" s="7" t="s">
        <v>41</v>
      </c>
      <c r="P4" s="7" t="str">
        <f>INDEX([1]Calidad_articulos!$O$4:$O$21,MATCH(A4,[1]Calidad_articulos!$A$4:$A$21,0))</f>
        <v>Alta calidad</v>
      </c>
      <c r="Q4" s="7" t="str">
        <f t="shared" ref="Q4:Q21" si="0">IF(AND(OR(P4="Alta calidad",P4="Media calidad"),OR(O4="Alto",O4="Medio")),"Incluir","Reserva")</f>
        <v>Incluir</v>
      </c>
      <c r="R4" s="7" t="s">
        <v>42</v>
      </c>
      <c r="S4" s="7" t="s">
        <v>43</v>
      </c>
      <c r="T4" s="7" t="s">
        <v>44</v>
      </c>
      <c r="U4" s="7" t="s">
        <v>44</v>
      </c>
      <c r="V4" s="7" t="s">
        <v>44</v>
      </c>
      <c r="W4" s="7" t="s">
        <v>44</v>
      </c>
      <c r="X4" s="7" t="s">
        <v>44</v>
      </c>
      <c r="Y4" s="7" t="s">
        <v>45</v>
      </c>
      <c r="AA4" s="8" t="s">
        <v>46</v>
      </c>
      <c r="AB4" s="9">
        <f>COUNTA($A$4:$A$21)</f>
        <v>18</v>
      </c>
    </row>
    <row r="5" spans="1:28" ht="120" customHeight="1" x14ac:dyDescent="0.3">
      <c r="A5" s="7" t="s">
        <v>47</v>
      </c>
      <c r="B5" s="7" t="s">
        <v>29</v>
      </c>
      <c r="C5" s="7" t="s">
        <v>48</v>
      </c>
      <c r="D5" s="7">
        <v>2026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7" t="s">
        <v>36</v>
      </c>
      <c r="K5" s="7" t="s">
        <v>54</v>
      </c>
      <c r="L5" s="7" t="s">
        <v>55</v>
      </c>
      <c r="M5" s="7" t="s">
        <v>56</v>
      </c>
      <c r="N5" s="7" t="s">
        <v>57</v>
      </c>
      <c r="O5" s="7" t="s">
        <v>58</v>
      </c>
      <c r="P5" s="7" t="str">
        <f>INDEX([1]Calidad_articulos!$O$4:$O$21,MATCH(A5,[1]Calidad_articulos!$A$4:$A$21,0))</f>
        <v>Alta calidad</v>
      </c>
      <c r="Q5" s="7" t="str">
        <f t="shared" si="0"/>
        <v>Incluir</v>
      </c>
      <c r="R5" s="7" t="s">
        <v>59</v>
      </c>
      <c r="S5" s="7" t="s">
        <v>43</v>
      </c>
      <c r="T5" s="7" t="s">
        <v>44</v>
      </c>
      <c r="U5" s="7" t="s">
        <v>44</v>
      </c>
      <c r="V5" s="7" t="s">
        <v>44</v>
      </c>
      <c r="W5" s="7" t="s">
        <v>44</v>
      </c>
      <c r="X5" s="7" t="s">
        <v>44</v>
      </c>
      <c r="Y5" s="7" t="s">
        <v>60</v>
      </c>
      <c r="AA5" s="10" t="s">
        <v>61</v>
      </c>
      <c r="AB5" s="10">
        <f>COUNTIF($Q$4:$Q$21,"Incluir")</f>
        <v>17</v>
      </c>
    </row>
    <row r="6" spans="1:28" ht="120" customHeight="1" x14ac:dyDescent="0.3">
      <c r="A6" s="7" t="s">
        <v>62</v>
      </c>
      <c r="B6" s="7" t="s">
        <v>29</v>
      </c>
      <c r="C6" s="7" t="s">
        <v>63</v>
      </c>
      <c r="D6" s="7">
        <v>2024</v>
      </c>
      <c r="E6" s="7" t="s">
        <v>64</v>
      </c>
      <c r="F6" s="7" t="s">
        <v>65</v>
      </c>
      <c r="G6" s="7" t="s">
        <v>66</v>
      </c>
      <c r="H6" s="7" t="s">
        <v>67</v>
      </c>
      <c r="I6" s="7" t="s">
        <v>68</v>
      </c>
      <c r="J6" s="7" t="s">
        <v>69</v>
      </c>
      <c r="K6" s="7" t="s">
        <v>70</v>
      </c>
      <c r="L6" s="7" t="s">
        <v>71</v>
      </c>
      <c r="M6" s="7" t="s">
        <v>72</v>
      </c>
      <c r="N6" s="7" t="s">
        <v>73</v>
      </c>
      <c r="O6" s="7" t="s">
        <v>41</v>
      </c>
      <c r="P6" s="7" t="str">
        <f>INDEX([1]Calidad_articulos!$O$4:$O$21,MATCH(A6,[1]Calidad_articulos!$A$4:$A$21,0))</f>
        <v>Alta calidad</v>
      </c>
      <c r="Q6" s="7" t="str">
        <f t="shared" si="0"/>
        <v>Incluir</v>
      </c>
      <c r="R6" s="7" t="s">
        <v>74</v>
      </c>
      <c r="S6" s="7" t="s">
        <v>43</v>
      </c>
      <c r="T6" s="7" t="s">
        <v>44</v>
      </c>
      <c r="U6" s="7" t="s">
        <v>44</v>
      </c>
      <c r="V6" s="7" t="s">
        <v>44</v>
      </c>
      <c r="W6" s="7" t="s">
        <v>44</v>
      </c>
      <c r="X6" s="7" t="s">
        <v>44</v>
      </c>
      <c r="Y6" s="7" t="s">
        <v>75</v>
      </c>
      <c r="AA6" s="8" t="s">
        <v>76</v>
      </c>
      <c r="AB6" s="9">
        <f>COUNTIFS($Q$4:$Q$21,"Incluir",$S$4:$S$21,"Fitopatológico")</f>
        <v>12</v>
      </c>
    </row>
    <row r="7" spans="1:28" ht="120" customHeight="1" x14ac:dyDescent="0.3">
      <c r="A7" s="7" t="s">
        <v>77</v>
      </c>
      <c r="B7" s="7" t="s">
        <v>29</v>
      </c>
      <c r="C7" s="7" t="s">
        <v>78</v>
      </c>
      <c r="D7" s="7">
        <v>2025</v>
      </c>
      <c r="E7" s="7" t="s">
        <v>79</v>
      </c>
      <c r="F7" s="7" t="s">
        <v>80</v>
      </c>
      <c r="G7" s="7" t="s">
        <v>81</v>
      </c>
      <c r="H7" s="7" t="s">
        <v>82</v>
      </c>
      <c r="I7" s="7" t="s">
        <v>83</v>
      </c>
      <c r="J7" s="7" t="s">
        <v>69</v>
      </c>
      <c r="K7" s="7" t="s">
        <v>84</v>
      </c>
      <c r="L7" s="7" t="s">
        <v>85</v>
      </c>
      <c r="M7" s="7" t="s">
        <v>86</v>
      </c>
      <c r="N7" s="7" t="s">
        <v>87</v>
      </c>
      <c r="O7" s="7" t="s">
        <v>41</v>
      </c>
      <c r="P7" s="7" t="str">
        <f>INDEX([1]Calidad_articulos!$O$4:$O$21,MATCH(A7,[1]Calidad_articulos!$A$4:$A$21,0))</f>
        <v>Alta calidad</v>
      </c>
      <c r="Q7" s="7" t="str">
        <f t="shared" si="0"/>
        <v>Incluir</v>
      </c>
      <c r="R7" s="7" t="s">
        <v>88</v>
      </c>
      <c r="S7" s="7" t="s">
        <v>43</v>
      </c>
      <c r="T7" s="7" t="s">
        <v>44</v>
      </c>
      <c r="U7" s="7" t="s">
        <v>44</v>
      </c>
      <c r="V7" s="7" t="s">
        <v>44</v>
      </c>
      <c r="W7" s="7" t="s">
        <v>44</v>
      </c>
      <c r="X7" s="7" t="s">
        <v>44</v>
      </c>
      <c r="Y7" s="7" t="s">
        <v>89</v>
      </c>
      <c r="AA7" s="8" t="s">
        <v>90</v>
      </c>
      <c r="AB7" s="9">
        <f>COUNTIFS($Q$4:$Q$21,"Incluir",$S$4:$S$21,"Tecnológico")</f>
        <v>5</v>
      </c>
    </row>
    <row r="8" spans="1:28" ht="120" customHeight="1" x14ac:dyDescent="0.3">
      <c r="A8" s="7" t="s">
        <v>91</v>
      </c>
      <c r="B8" s="7" t="s">
        <v>29</v>
      </c>
      <c r="C8" s="7" t="s">
        <v>92</v>
      </c>
      <c r="D8" s="7">
        <v>2023</v>
      </c>
      <c r="E8" s="7" t="s">
        <v>93</v>
      </c>
      <c r="F8" s="7" t="s">
        <v>94</v>
      </c>
      <c r="G8" s="7" t="s">
        <v>95</v>
      </c>
      <c r="H8" s="7" t="s">
        <v>96</v>
      </c>
      <c r="I8" s="7" t="s">
        <v>97</v>
      </c>
      <c r="J8" s="7" t="s">
        <v>98</v>
      </c>
      <c r="K8" s="7" t="s">
        <v>99</v>
      </c>
      <c r="L8" s="7" t="s">
        <v>100</v>
      </c>
      <c r="M8" s="7" t="s">
        <v>101</v>
      </c>
      <c r="N8" s="7" t="s">
        <v>102</v>
      </c>
      <c r="O8" s="7" t="s">
        <v>41</v>
      </c>
      <c r="P8" s="7" t="str">
        <f>INDEX([1]Calidad_articulos!$O$4:$O$21,MATCH(A8,[1]Calidad_articulos!$A$4:$A$21,0))</f>
        <v>Alta calidad</v>
      </c>
      <c r="Q8" s="7" t="str">
        <f t="shared" si="0"/>
        <v>Incluir</v>
      </c>
      <c r="R8" s="7" t="s">
        <v>103</v>
      </c>
      <c r="S8" s="7" t="s">
        <v>43</v>
      </c>
      <c r="T8" s="7" t="s">
        <v>44</v>
      </c>
      <c r="U8" s="7" t="s">
        <v>44</v>
      </c>
      <c r="V8" s="7" t="s">
        <v>44</v>
      </c>
      <c r="W8" s="7" t="s">
        <v>44</v>
      </c>
      <c r="X8" s="7" t="s">
        <v>44</v>
      </c>
      <c r="Y8" s="7" t="s">
        <v>104</v>
      </c>
      <c r="AA8" s="10" t="s">
        <v>105</v>
      </c>
      <c r="AB8" s="10">
        <f>COUNTIF($Q$4:$Q$21,"Reserva")</f>
        <v>1</v>
      </c>
    </row>
    <row r="9" spans="1:28" ht="120" customHeight="1" x14ac:dyDescent="0.3">
      <c r="A9" s="7" t="s">
        <v>106</v>
      </c>
      <c r="B9" s="7" t="s">
        <v>29</v>
      </c>
      <c r="C9" s="7" t="s">
        <v>107</v>
      </c>
      <c r="D9" s="7">
        <v>2026</v>
      </c>
      <c r="E9" s="7" t="s">
        <v>108</v>
      </c>
      <c r="F9" s="7" t="s">
        <v>109</v>
      </c>
      <c r="G9" s="7" t="s">
        <v>95</v>
      </c>
      <c r="H9" s="7" t="s">
        <v>110</v>
      </c>
      <c r="I9" s="7" t="s">
        <v>111</v>
      </c>
      <c r="J9" s="7" t="s">
        <v>98</v>
      </c>
      <c r="K9" s="7" t="s">
        <v>112</v>
      </c>
      <c r="L9" s="7" t="s">
        <v>113</v>
      </c>
      <c r="M9" s="7" t="s">
        <v>114</v>
      </c>
      <c r="N9" s="7" t="s">
        <v>115</v>
      </c>
      <c r="O9" s="7" t="s">
        <v>41</v>
      </c>
      <c r="P9" s="7" t="str">
        <f>INDEX([1]Calidad_articulos!$O$4:$O$21,MATCH(A9,[1]Calidad_articulos!$A$4:$A$21,0))</f>
        <v>Alta calidad</v>
      </c>
      <c r="Q9" s="7" t="str">
        <f t="shared" si="0"/>
        <v>Incluir</v>
      </c>
      <c r="R9" s="7" t="s">
        <v>116</v>
      </c>
      <c r="S9" s="7" t="s">
        <v>43</v>
      </c>
      <c r="T9" s="7" t="s">
        <v>44</v>
      </c>
      <c r="U9" s="7" t="s">
        <v>44</v>
      </c>
      <c r="V9" s="7" t="s">
        <v>44</v>
      </c>
      <c r="W9" s="7" t="s">
        <v>44</v>
      </c>
      <c r="X9" s="7" t="s">
        <v>44</v>
      </c>
      <c r="Y9" s="7" t="s">
        <v>117</v>
      </c>
      <c r="AA9" s="8" t="s">
        <v>118</v>
      </c>
      <c r="AB9" s="9">
        <f>COUNTIF($O$4:$O$21,"Alto")</f>
        <v>11</v>
      </c>
    </row>
    <row r="10" spans="1:28" ht="120" customHeight="1" x14ac:dyDescent="0.3">
      <c r="A10" s="7" t="s">
        <v>119</v>
      </c>
      <c r="B10" s="7" t="s">
        <v>29</v>
      </c>
      <c r="C10" s="7" t="s">
        <v>120</v>
      </c>
      <c r="D10" s="7">
        <v>2026</v>
      </c>
      <c r="E10" s="7" t="s">
        <v>121</v>
      </c>
      <c r="F10" s="7" t="s">
        <v>122</v>
      </c>
      <c r="G10" s="7" t="s">
        <v>123</v>
      </c>
      <c r="H10" s="7" t="s">
        <v>124</v>
      </c>
      <c r="I10" s="7" t="s">
        <v>125</v>
      </c>
      <c r="J10" s="7" t="s">
        <v>126</v>
      </c>
      <c r="K10" s="7" t="s">
        <v>127</v>
      </c>
      <c r="L10" s="7" t="s">
        <v>128</v>
      </c>
      <c r="M10" s="7" t="s">
        <v>129</v>
      </c>
      <c r="N10" s="7" t="s">
        <v>130</v>
      </c>
      <c r="O10" s="7" t="s">
        <v>131</v>
      </c>
      <c r="P10" s="7" t="str">
        <f>INDEX([1]Calidad_articulos!$O$4:$O$21,MATCH(A10,[1]Calidad_articulos!$A$4:$A$21,0))</f>
        <v>Media calidad</v>
      </c>
      <c r="Q10" s="7" t="str">
        <f t="shared" si="0"/>
        <v>Reserva</v>
      </c>
      <c r="R10" s="7" t="s">
        <v>132</v>
      </c>
      <c r="S10" s="7" t="s">
        <v>43</v>
      </c>
      <c r="T10" s="7" t="s">
        <v>44</v>
      </c>
      <c r="U10" s="7" t="s">
        <v>44</v>
      </c>
      <c r="V10" s="7" t="s">
        <v>44</v>
      </c>
      <c r="W10" s="7" t="s">
        <v>44</v>
      </c>
      <c r="X10" s="7" t="s">
        <v>44</v>
      </c>
      <c r="Y10" s="7" t="s">
        <v>133</v>
      </c>
      <c r="AA10" s="8" t="s">
        <v>134</v>
      </c>
      <c r="AB10" s="9">
        <f>COUNTIF($O$4:$O$21,"Medio")</f>
        <v>6</v>
      </c>
    </row>
    <row r="11" spans="1:28" ht="120" customHeight="1" x14ac:dyDescent="0.3">
      <c r="A11" s="7" t="s">
        <v>135</v>
      </c>
      <c r="B11" s="7" t="s">
        <v>29</v>
      </c>
      <c r="C11" s="7" t="s">
        <v>136</v>
      </c>
      <c r="D11" s="7">
        <v>2026</v>
      </c>
      <c r="E11" s="7" t="s">
        <v>137</v>
      </c>
      <c r="F11" s="7" t="s">
        <v>138</v>
      </c>
      <c r="G11" s="7" t="s">
        <v>139</v>
      </c>
      <c r="H11" s="7" t="s">
        <v>140</v>
      </c>
      <c r="I11" s="7" t="s">
        <v>141</v>
      </c>
      <c r="J11" s="7" t="s">
        <v>69</v>
      </c>
      <c r="K11" s="7" t="s">
        <v>142</v>
      </c>
      <c r="L11" s="7" t="s">
        <v>143</v>
      </c>
      <c r="M11" s="7" t="s">
        <v>144</v>
      </c>
      <c r="N11" s="7" t="s">
        <v>145</v>
      </c>
      <c r="O11" s="7" t="s">
        <v>41</v>
      </c>
      <c r="P11" s="7" t="str">
        <f>INDEX([1]Calidad_articulos!$O$4:$O$21,MATCH(A11,[1]Calidad_articulos!$A$4:$A$21,0))</f>
        <v>Alta calidad</v>
      </c>
      <c r="Q11" s="7" t="str">
        <f t="shared" si="0"/>
        <v>Incluir</v>
      </c>
      <c r="R11" s="7" t="s">
        <v>146</v>
      </c>
      <c r="S11" s="7" t="s">
        <v>43</v>
      </c>
      <c r="T11" s="7" t="s">
        <v>44</v>
      </c>
      <c r="U11" s="7" t="s">
        <v>44</v>
      </c>
      <c r="V11" s="7" t="s">
        <v>44</v>
      </c>
      <c r="W11" s="7" t="s">
        <v>44</v>
      </c>
      <c r="X11" s="7" t="s">
        <v>44</v>
      </c>
      <c r="Y11" s="7" t="s">
        <v>147</v>
      </c>
      <c r="AA11" s="8" t="s">
        <v>148</v>
      </c>
      <c r="AB11" s="9">
        <f>COUNTIF($O$4:$O$21,"Bajo")</f>
        <v>1</v>
      </c>
    </row>
    <row r="12" spans="1:28" ht="120" customHeight="1" x14ac:dyDescent="0.3">
      <c r="A12" s="7" t="s">
        <v>149</v>
      </c>
      <c r="B12" s="7" t="s">
        <v>29</v>
      </c>
      <c r="C12" s="7" t="s">
        <v>150</v>
      </c>
      <c r="D12" s="7">
        <v>2019</v>
      </c>
      <c r="E12" s="7" t="s">
        <v>151</v>
      </c>
      <c r="F12" s="7" t="s">
        <v>152</v>
      </c>
      <c r="G12" s="7" t="s">
        <v>95</v>
      </c>
      <c r="H12" s="7" t="s">
        <v>153</v>
      </c>
      <c r="I12" s="7" t="s">
        <v>154</v>
      </c>
      <c r="J12" s="7" t="s">
        <v>69</v>
      </c>
      <c r="K12" s="7" t="s">
        <v>155</v>
      </c>
      <c r="L12" s="7" t="s">
        <v>156</v>
      </c>
      <c r="M12" s="7" t="s">
        <v>157</v>
      </c>
      <c r="N12" s="7" t="s">
        <v>158</v>
      </c>
      <c r="O12" s="7" t="s">
        <v>41</v>
      </c>
      <c r="P12" s="7" t="str">
        <f>INDEX([1]Calidad_articulos!$O$4:$O$21,MATCH(A12,[1]Calidad_articulos!$A$4:$A$21,0))</f>
        <v>Alta calidad</v>
      </c>
      <c r="Q12" s="7" t="str">
        <f t="shared" si="0"/>
        <v>Incluir</v>
      </c>
      <c r="R12" s="7" t="s">
        <v>159</v>
      </c>
      <c r="S12" s="7" t="s">
        <v>43</v>
      </c>
      <c r="T12" s="7" t="s">
        <v>44</v>
      </c>
      <c r="U12" s="7" t="s">
        <v>44</v>
      </c>
      <c r="V12" s="7" t="s">
        <v>44</v>
      </c>
      <c r="W12" s="7" t="s">
        <v>44</v>
      </c>
      <c r="X12" s="7" t="s">
        <v>44</v>
      </c>
      <c r="Y12" s="7" t="s">
        <v>160</v>
      </c>
      <c r="AA12" s="8" t="s">
        <v>161</v>
      </c>
      <c r="AB12" s="11" t="str">
        <f>IF(AB5+AB8=AB4,"Correcto","Revisar")</f>
        <v>Correcto</v>
      </c>
    </row>
    <row r="13" spans="1:28" ht="120" customHeight="1" x14ac:dyDescent="0.3">
      <c r="A13" s="7" t="s">
        <v>162</v>
      </c>
      <c r="B13" s="7" t="s">
        <v>29</v>
      </c>
      <c r="C13" s="7" t="s">
        <v>163</v>
      </c>
      <c r="D13" s="7">
        <v>2026</v>
      </c>
      <c r="E13" s="7" t="s">
        <v>164</v>
      </c>
      <c r="F13" s="7" t="s">
        <v>165</v>
      </c>
      <c r="G13" s="7" t="s">
        <v>166</v>
      </c>
      <c r="H13" s="7" t="s">
        <v>167</v>
      </c>
      <c r="I13" s="7" t="s">
        <v>168</v>
      </c>
      <c r="J13" s="7" t="s">
        <v>98</v>
      </c>
      <c r="K13" s="7" t="s">
        <v>169</v>
      </c>
      <c r="L13" s="7" t="s">
        <v>170</v>
      </c>
      <c r="M13" s="7" t="s">
        <v>171</v>
      </c>
      <c r="N13" s="7" t="s">
        <v>172</v>
      </c>
      <c r="O13" s="7" t="s">
        <v>58</v>
      </c>
      <c r="P13" s="7" t="str">
        <f>INDEX([1]Calidad_articulos!$O$4:$O$21,MATCH(A13,[1]Calidad_articulos!$A$4:$A$21,0))</f>
        <v>Alta calidad</v>
      </c>
      <c r="Q13" s="7" t="str">
        <f t="shared" si="0"/>
        <v>Incluir</v>
      </c>
      <c r="R13" s="7" t="s">
        <v>173</v>
      </c>
      <c r="S13" s="7" t="s">
        <v>43</v>
      </c>
      <c r="T13" s="7" t="s">
        <v>44</v>
      </c>
      <c r="U13" s="7" t="s">
        <v>44</v>
      </c>
      <c r="V13" s="7" t="s">
        <v>44</v>
      </c>
      <c r="W13" s="7" t="s">
        <v>44</v>
      </c>
      <c r="X13" s="7" t="s">
        <v>44</v>
      </c>
      <c r="Y13" s="7" t="s">
        <v>160</v>
      </c>
    </row>
    <row r="14" spans="1:28" ht="120" customHeight="1" x14ac:dyDescent="0.3">
      <c r="A14" s="7" t="s">
        <v>174</v>
      </c>
      <c r="B14" s="7" t="s">
        <v>29</v>
      </c>
      <c r="C14" s="7" t="s">
        <v>175</v>
      </c>
      <c r="D14" s="7">
        <v>2025</v>
      </c>
      <c r="E14" s="7" t="s">
        <v>176</v>
      </c>
      <c r="F14" s="7" t="s">
        <v>177</v>
      </c>
      <c r="G14" s="7" t="s">
        <v>178</v>
      </c>
      <c r="H14" s="7" t="s">
        <v>179</v>
      </c>
      <c r="I14" s="7" t="s">
        <v>180</v>
      </c>
      <c r="J14" s="7" t="s">
        <v>181</v>
      </c>
      <c r="K14" s="7" t="s">
        <v>182</v>
      </c>
      <c r="L14" s="7" t="s">
        <v>183</v>
      </c>
      <c r="M14" s="7" t="s">
        <v>184</v>
      </c>
      <c r="N14" s="7" t="s">
        <v>185</v>
      </c>
      <c r="O14" s="7" t="s">
        <v>41</v>
      </c>
      <c r="P14" s="7" t="str">
        <f>INDEX([1]Calidad_articulos!$O$4:$O$21,MATCH(A14,[1]Calidad_articulos!$A$4:$A$21,0))</f>
        <v>Alta calidad</v>
      </c>
      <c r="Q14" s="7" t="str">
        <f t="shared" si="0"/>
        <v>Incluir</v>
      </c>
      <c r="R14" s="7" t="s">
        <v>186</v>
      </c>
      <c r="S14" s="7" t="s">
        <v>43</v>
      </c>
      <c r="T14" s="7" t="s">
        <v>44</v>
      </c>
      <c r="U14" s="7" t="s">
        <v>44</v>
      </c>
      <c r="V14" s="7" t="s">
        <v>44</v>
      </c>
      <c r="W14" s="7" t="s">
        <v>44</v>
      </c>
      <c r="X14" s="7" t="s">
        <v>44</v>
      </c>
      <c r="Y14" s="7" t="s">
        <v>187</v>
      </c>
    </row>
    <row r="15" spans="1:28" ht="120" customHeight="1" x14ac:dyDescent="0.3">
      <c r="A15" s="7" t="s">
        <v>188</v>
      </c>
      <c r="B15" s="7" t="s">
        <v>29</v>
      </c>
      <c r="C15" s="7" t="s">
        <v>189</v>
      </c>
      <c r="D15" s="7">
        <v>2021</v>
      </c>
      <c r="E15" s="7" t="s">
        <v>190</v>
      </c>
      <c r="F15" s="7" t="s">
        <v>191</v>
      </c>
      <c r="G15" s="7" t="s">
        <v>192</v>
      </c>
      <c r="H15" s="7" t="s">
        <v>193</v>
      </c>
      <c r="I15" s="7" t="s">
        <v>194</v>
      </c>
      <c r="J15" s="7" t="s">
        <v>69</v>
      </c>
      <c r="K15" s="7" t="s">
        <v>195</v>
      </c>
      <c r="L15" s="7" t="s">
        <v>196</v>
      </c>
      <c r="M15" s="7" t="s">
        <v>197</v>
      </c>
      <c r="N15" s="7" t="s">
        <v>198</v>
      </c>
      <c r="O15" s="7" t="s">
        <v>58</v>
      </c>
      <c r="P15" s="7" t="str">
        <f>INDEX([1]Calidad_articulos!$O$4:$O$21,MATCH(A15,[1]Calidad_articulos!$A$4:$A$21,0))</f>
        <v>Alta calidad</v>
      </c>
      <c r="Q15" s="7" t="str">
        <f t="shared" si="0"/>
        <v>Incluir</v>
      </c>
      <c r="R15" s="7" t="s">
        <v>199</v>
      </c>
      <c r="S15" s="7" t="s">
        <v>43</v>
      </c>
      <c r="T15" s="7" t="s">
        <v>44</v>
      </c>
      <c r="U15" s="7" t="s">
        <v>44</v>
      </c>
      <c r="V15" s="7" t="s">
        <v>44</v>
      </c>
      <c r="W15" s="7" t="s">
        <v>44</v>
      </c>
      <c r="X15" s="7" t="s">
        <v>44</v>
      </c>
      <c r="Y15" s="7" t="s">
        <v>200</v>
      </c>
    </row>
    <row r="16" spans="1:28" ht="120" customHeight="1" x14ac:dyDescent="0.3">
      <c r="A16" s="7" t="s">
        <v>201</v>
      </c>
      <c r="B16" s="7" t="s">
        <v>29</v>
      </c>
      <c r="C16" s="7" t="s">
        <v>202</v>
      </c>
      <c r="D16" s="7">
        <v>2022</v>
      </c>
      <c r="E16" s="7" t="s">
        <v>203</v>
      </c>
      <c r="F16" s="7" t="s">
        <v>204</v>
      </c>
      <c r="G16" s="7" t="s">
        <v>205</v>
      </c>
      <c r="H16" s="7" t="s">
        <v>206</v>
      </c>
      <c r="I16" s="7" t="s">
        <v>207</v>
      </c>
      <c r="J16" s="7" t="s">
        <v>98</v>
      </c>
      <c r="K16" s="7" t="s">
        <v>208</v>
      </c>
      <c r="L16" s="7" t="s">
        <v>209</v>
      </c>
      <c r="M16" s="7" t="s">
        <v>210</v>
      </c>
      <c r="N16" s="7" t="s">
        <v>211</v>
      </c>
      <c r="O16" s="7" t="s">
        <v>58</v>
      </c>
      <c r="P16" s="7" t="str">
        <f>INDEX([1]Calidad_articulos!$O$4:$O$21,MATCH(A16,[1]Calidad_articulos!$A$4:$A$21,0))</f>
        <v>Alta calidad</v>
      </c>
      <c r="Q16" s="7" t="str">
        <f t="shared" si="0"/>
        <v>Incluir</v>
      </c>
      <c r="R16" s="7" t="s">
        <v>212</v>
      </c>
      <c r="S16" s="7" t="s">
        <v>43</v>
      </c>
      <c r="T16" s="7" t="s">
        <v>44</v>
      </c>
      <c r="U16" s="7" t="s">
        <v>44</v>
      </c>
      <c r="V16" s="7" t="s">
        <v>44</v>
      </c>
      <c r="W16" s="7" t="s">
        <v>44</v>
      </c>
      <c r="X16" s="7" t="s">
        <v>44</v>
      </c>
      <c r="Y16" s="7" t="s">
        <v>213</v>
      </c>
    </row>
    <row r="17" spans="1:25" ht="120" customHeight="1" x14ac:dyDescent="0.3">
      <c r="A17" s="7" t="s">
        <v>214</v>
      </c>
      <c r="B17" s="7" t="s">
        <v>29</v>
      </c>
      <c r="C17" s="7" t="s">
        <v>215</v>
      </c>
      <c r="D17" s="7" t="s">
        <v>216</v>
      </c>
      <c r="E17" s="7" t="s">
        <v>217</v>
      </c>
      <c r="F17" s="7" t="s">
        <v>218</v>
      </c>
      <c r="G17" s="7" t="s">
        <v>219</v>
      </c>
      <c r="H17" s="7" t="s">
        <v>220</v>
      </c>
      <c r="I17" s="7" t="s">
        <v>221</v>
      </c>
      <c r="J17" s="7" t="s">
        <v>222</v>
      </c>
      <c r="K17" s="7" t="s">
        <v>44</v>
      </c>
      <c r="L17" s="7" t="s">
        <v>223</v>
      </c>
      <c r="M17" s="7" t="s">
        <v>44</v>
      </c>
      <c r="N17" s="7" t="s">
        <v>224</v>
      </c>
      <c r="O17" s="7" t="s">
        <v>58</v>
      </c>
      <c r="P17" s="7" t="str">
        <f>INDEX([1]Calidad_articulos!$O$4:$O$21,MATCH(A17,[1]Calidad_articulos!$A$4:$A$21,0))</f>
        <v>Alta calidad</v>
      </c>
      <c r="Q17" s="7" t="str">
        <f t="shared" si="0"/>
        <v>Incluir</v>
      </c>
      <c r="R17" s="7" t="s">
        <v>225</v>
      </c>
      <c r="S17" s="7" t="s">
        <v>226</v>
      </c>
      <c r="T17" s="7" t="s">
        <v>227</v>
      </c>
      <c r="U17" s="7" t="s">
        <v>228</v>
      </c>
      <c r="V17" s="7" t="s">
        <v>229</v>
      </c>
      <c r="W17" s="7" t="s">
        <v>230</v>
      </c>
      <c r="X17" s="7" t="s">
        <v>231</v>
      </c>
      <c r="Y17" s="7" t="s">
        <v>232</v>
      </c>
    </row>
    <row r="18" spans="1:25" ht="120" customHeight="1" x14ac:dyDescent="0.3">
      <c r="A18" s="7" t="s">
        <v>233</v>
      </c>
      <c r="B18" s="7" t="s">
        <v>29</v>
      </c>
      <c r="C18" s="7" t="s">
        <v>234</v>
      </c>
      <c r="D18" s="7" t="s">
        <v>216</v>
      </c>
      <c r="E18" s="7" t="s">
        <v>235</v>
      </c>
      <c r="F18" s="7" t="s">
        <v>236</v>
      </c>
      <c r="G18" s="7" t="s">
        <v>237</v>
      </c>
      <c r="H18" s="7" t="s">
        <v>238</v>
      </c>
      <c r="I18" s="7" t="s">
        <v>239</v>
      </c>
      <c r="J18" s="7" t="s">
        <v>222</v>
      </c>
      <c r="K18" s="7" t="s">
        <v>44</v>
      </c>
      <c r="L18" s="7" t="s">
        <v>240</v>
      </c>
      <c r="M18" s="7" t="s">
        <v>44</v>
      </c>
      <c r="N18" s="7" t="s">
        <v>241</v>
      </c>
      <c r="O18" s="7" t="s">
        <v>58</v>
      </c>
      <c r="P18" s="7" t="str">
        <f>INDEX([1]Calidad_articulos!$O$4:$O$21,MATCH(A18,[1]Calidad_articulos!$A$4:$A$21,0))</f>
        <v>Alta calidad</v>
      </c>
      <c r="Q18" s="7" t="str">
        <f t="shared" si="0"/>
        <v>Incluir</v>
      </c>
      <c r="R18" s="7" t="s">
        <v>242</v>
      </c>
      <c r="S18" s="7" t="s">
        <v>226</v>
      </c>
      <c r="T18" s="7" t="s">
        <v>243</v>
      </c>
      <c r="U18" s="7" t="s">
        <v>244</v>
      </c>
      <c r="V18" s="7" t="s">
        <v>245</v>
      </c>
      <c r="W18" s="7" t="s">
        <v>246</v>
      </c>
      <c r="X18" s="7" t="s">
        <v>247</v>
      </c>
      <c r="Y18" s="7" t="s">
        <v>248</v>
      </c>
    </row>
    <row r="19" spans="1:25" ht="120" customHeight="1" x14ac:dyDescent="0.3">
      <c r="A19" s="7" t="s">
        <v>249</v>
      </c>
      <c r="B19" s="7" t="s">
        <v>29</v>
      </c>
      <c r="C19" s="7" t="s">
        <v>250</v>
      </c>
      <c r="D19" s="7" t="s">
        <v>251</v>
      </c>
      <c r="E19" s="7" t="s">
        <v>252</v>
      </c>
      <c r="F19" s="7" t="s">
        <v>253</v>
      </c>
      <c r="G19" s="7" t="s">
        <v>219</v>
      </c>
      <c r="H19" s="7" t="s">
        <v>254</v>
      </c>
      <c r="I19" s="7" t="s">
        <v>255</v>
      </c>
      <c r="J19" s="7" t="s">
        <v>222</v>
      </c>
      <c r="K19" s="7" t="s">
        <v>44</v>
      </c>
      <c r="L19" s="7" t="s">
        <v>256</v>
      </c>
      <c r="M19" s="7" t="s">
        <v>44</v>
      </c>
      <c r="N19" s="7" t="s">
        <v>257</v>
      </c>
      <c r="O19" s="7" t="s">
        <v>41</v>
      </c>
      <c r="P19" s="7" t="str">
        <f>INDEX([1]Calidad_articulos!$O$4:$O$21,MATCH(A19,[1]Calidad_articulos!$A$4:$A$21,0))</f>
        <v>Alta calidad</v>
      </c>
      <c r="Q19" s="7" t="str">
        <f t="shared" si="0"/>
        <v>Incluir</v>
      </c>
      <c r="R19" s="7" t="s">
        <v>258</v>
      </c>
      <c r="S19" s="7" t="s">
        <v>226</v>
      </c>
      <c r="T19" s="7" t="s">
        <v>259</v>
      </c>
      <c r="U19" s="7" t="s">
        <v>260</v>
      </c>
      <c r="V19" s="7" t="s">
        <v>261</v>
      </c>
      <c r="W19" s="7" t="s">
        <v>262</v>
      </c>
      <c r="X19" s="7" t="s">
        <v>263</v>
      </c>
      <c r="Y19" s="7" t="s">
        <v>264</v>
      </c>
    </row>
    <row r="20" spans="1:25" ht="120" customHeight="1" x14ac:dyDescent="0.3">
      <c r="A20" s="7" t="s">
        <v>265</v>
      </c>
      <c r="B20" s="7" t="s">
        <v>29</v>
      </c>
      <c r="C20" s="7" t="s">
        <v>266</v>
      </c>
      <c r="D20" s="7" t="s">
        <v>267</v>
      </c>
      <c r="E20" s="7" t="s">
        <v>268</v>
      </c>
      <c r="F20" s="7" t="s">
        <v>269</v>
      </c>
      <c r="G20" s="7" t="s">
        <v>219</v>
      </c>
      <c r="H20" s="7" t="s">
        <v>270</v>
      </c>
      <c r="I20" s="7" t="s">
        <v>271</v>
      </c>
      <c r="J20" s="7" t="s">
        <v>222</v>
      </c>
      <c r="K20" s="7" t="s">
        <v>44</v>
      </c>
      <c r="L20" s="7" t="s">
        <v>272</v>
      </c>
      <c r="M20" s="7" t="s">
        <v>44</v>
      </c>
      <c r="N20" s="7" t="s">
        <v>273</v>
      </c>
      <c r="O20" s="7" t="s">
        <v>41</v>
      </c>
      <c r="P20" s="7" t="str">
        <f>INDEX([1]Calidad_articulos!$O$4:$O$21,MATCH(A20,[1]Calidad_articulos!$A$4:$A$21,0))</f>
        <v>Alta calidad</v>
      </c>
      <c r="Q20" s="7" t="str">
        <f t="shared" si="0"/>
        <v>Incluir</v>
      </c>
      <c r="R20" s="7" t="s">
        <v>274</v>
      </c>
      <c r="S20" s="7" t="s">
        <v>226</v>
      </c>
      <c r="T20" s="7" t="s">
        <v>275</v>
      </c>
      <c r="U20" s="7" t="s">
        <v>276</v>
      </c>
      <c r="V20" s="7" t="s">
        <v>277</v>
      </c>
      <c r="W20" s="7" t="s">
        <v>278</v>
      </c>
      <c r="X20" s="7" t="s">
        <v>279</v>
      </c>
      <c r="Y20" s="7" t="s">
        <v>280</v>
      </c>
    </row>
    <row r="21" spans="1:25" ht="120" customHeight="1" x14ac:dyDescent="0.3">
      <c r="A21" s="7" t="s">
        <v>281</v>
      </c>
      <c r="B21" s="7" t="s">
        <v>282</v>
      </c>
      <c r="C21" s="7" t="s">
        <v>283</v>
      </c>
      <c r="D21" s="7" t="s">
        <v>216</v>
      </c>
      <c r="E21" s="7" t="s">
        <v>284</v>
      </c>
      <c r="F21" s="7" t="s">
        <v>285</v>
      </c>
      <c r="G21" s="7" t="s">
        <v>219</v>
      </c>
      <c r="H21" s="7" t="s">
        <v>286</v>
      </c>
      <c r="I21" s="7" t="s">
        <v>287</v>
      </c>
      <c r="J21" s="7" t="s">
        <v>222</v>
      </c>
      <c r="K21" s="7" t="s">
        <v>44</v>
      </c>
      <c r="L21" s="7" t="s">
        <v>256</v>
      </c>
      <c r="M21" s="7" t="s">
        <v>44</v>
      </c>
      <c r="N21" s="7" t="s">
        <v>288</v>
      </c>
      <c r="O21" s="7" t="s">
        <v>41</v>
      </c>
      <c r="P21" s="7" t="str">
        <f>INDEX([1]Calidad_articulos!$O$4:$O$21,MATCH(A21,[1]Calidad_articulos!$A$4:$A$21,0))</f>
        <v>Alta calidad</v>
      </c>
      <c r="Q21" s="7" t="str">
        <f t="shared" si="0"/>
        <v>Incluir</v>
      </c>
      <c r="R21" s="7" t="s">
        <v>289</v>
      </c>
      <c r="S21" s="7" t="s">
        <v>226</v>
      </c>
      <c r="T21" s="7" t="s">
        <v>290</v>
      </c>
      <c r="U21" s="7" t="s">
        <v>291</v>
      </c>
      <c r="V21" s="7" t="s">
        <v>292</v>
      </c>
      <c r="W21" s="7" t="s">
        <v>293</v>
      </c>
      <c r="X21" s="7" t="s">
        <v>294</v>
      </c>
      <c r="Y21" s="7" t="s">
        <v>295</v>
      </c>
    </row>
  </sheetData>
  <mergeCells count="2">
    <mergeCell ref="A1:X1"/>
    <mergeCell ref="A2:X2"/>
  </mergeCells>
  <dataValidations count="5">
    <dataValidation type="list" allowBlank="1" sqref="S4:S21" xr:uid="{DC8C78B4-1EFF-42AB-A4A9-EA6BC47619E0}">
      <formula1>"Fitopatológico,Tecnológico"</formula1>
    </dataValidation>
    <dataValidation type="list" allowBlank="1" sqref="J4:J21" xr:uid="{CA7EB340-A58F-42D4-A710-8F886EDE9AF1}">
      <formula1>"1. Phytophthora,2. Lasiodiplodia,3. Botryosphaeriaceae,4. Colletotrichum,5. Fusarium,6. Nectria,Varios,Otro/No aplica"</formula1>
    </dataValidation>
    <dataValidation type="list" allowBlank="1" sqref="Q4:Q21" xr:uid="{B573BA02-8F4C-4FDC-82C5-0B59E0372E99}">
      <formula1>"Incluir,Reserva"</formula1>
    </dataValidation>
    <dataValidation type="list" allowBlank="1" sqref="P4:P21" xr:uid="{E4B61C4C-00B6-456C-8BD0-81C1BF203817}">
      <formula1>"Alta calidad,Media calidad,Baja calidad"</formula1>
    </dataValidation>
    <dataValidation type="list" allowBlank="1" sqref="O4:O21" xr:uid="{E2097AEA-01B6-4B64-B7B7-36C3758B75ED}">
      <formula1>"Alto,Medio,Bajo"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Articulos_finales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JOSE LLUMIQUINGA �ACATO</dc:creator>
  <cp:lastModifiedBy>ARIEL JOSE LLUMIQUINGA �ACATO</cp:lastModifiedBy>
  <dcterms:created xsi:type="dcterms:W3CDTF">2026-10-03T17:31:00Z</dcterms:created>
  <dcterms:modified xsi:type="dcterms:W3CDTF">2026-10-03T17:34:00Z</dcterms:modified>
</cp:coreProperties>
</file>