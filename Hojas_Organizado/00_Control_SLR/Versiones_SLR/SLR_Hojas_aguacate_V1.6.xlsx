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8" autoFilterDateGrouping="1"/>
  </bookViews>
  <sheets>
    <sheet xmlns:r="http://schemas.openxmlformats.org/officeDocument/2006/relationships" name="Protocolo" sheetId="1" state="visible" r:id="rId1"/>
    <sheet xmlns:r="http://schemas.openxmlformats.org/officeDocument/2006/relationships" name="Cadenas_de_busqueda" sheetId="2" state="visible" r:id="rId2"/>
    <sheet xmlns:r="http://schemas.openxmlformats.org/officeDocument/2006/relationships" name="Base_consolidada" sheetId="3" state="visible" r:id="rId3"/>
    <sheet xmlns:r="http://schemas.openxmlformats.org/officeDocument/2006/relationships" name="Duplicados_y_exclusion" sheetId="4" state="visible" r:id="rId4"/>
    <sheet xmlns:r="http://schemas.openxmlformats.org/officeDocument/2006/relationships" name="Tamizaje_Tit_Abs_Keys" sheetId="5" state="visible" r:id="rId5"/>
    <sheet xmlns:r="http://schemas.openxmlformats.org/officeDocument/2006/relationships" name="Calidad_articulos" sheetId="6" state="visible" r:id="rId6"/>
    <sheet xmlns:r="http://schemas.openxmlformats.org/officeDocument/2006/relationships" name="Articulos_finales" sheetId="7" state="visible" r:id="rId7"/>
    <sheet xmlns:r="http://schemas.openxmlformats.org/officeDocument/2006/relationships" name="Articulos_finales_ok" sheetId="8" state="visible" r:id="rId8"/>
    <sheet xmlns:r="http://schemas.openxmlformats.org/officeDocument/2006/relationships" name="Resumen_ejecutivo" sheetId="9" state="visible" r:id="rId9"/>
  </sheets>
  <definedNames>
    <definedName name="_xlnm._FilterDatabase" localSheetId="1" hidden="1">'Cadenas_de_busqueda'!$A$4:$I$12</definedName>
    <definedName name="_xlnm._FilterDatabase" localSheetId="2" hidden="1">'Base_consolidada'!$A$3:$L$51</definedName>
    <definedName name="_xlnm._FilterDatabase" localSheetId="3" hidden="1">'Duplicados_y_exclusion'!$A$3:$J$51</definedName>
    <definedName name="_xlnm._FilterDatabase" localSheetId="4" hidden="1">'Tamizaje_Tit_Abs_Keys'!$A$3:$N$51</definedName>
    <definedName name="_xlnm._FilterDatabase" localSheetId="5" hidden="1">'Calidad_articulos'!$A$3:$P$51</definedName>
    <definedName name="_xlnm._FilterDatabase" localSheetId="6" hidden="1">'Articulos_finales'!$A$3:$R$38</definedName>
    <definedName name="_xlnm._FilterDatabase" localSheetId="7" hidden="1">'Articulos_finales_ok'!$A$1:$F$17</definedName>
    <definedName name="_xlnm._FilterDatabase" localSheetId="8" hidden="1">'Resumen_ejecutivo'!$A$3:$J$26</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family val="2"/>
      <b val="1"/>
      <color rgb="FFFFFFFF"/>
      <sz val="12"/>
    </font>
    <font>
      <name val="Calibri"/>
      <family val="2"/>
      <i val="1"/>
      <sz val="10"/>
    </font>
    <font>
      <name val="Calibri"/>
      <family val="2"/>
      <b val="1"/>
      <color rgb="FFFFFFFF"/>
      <sz val="11"/>
    </font>
    <font>
      <name val="Calibri"/>
      <family val="2"/>
      <color rgb="FF000000"/>
      <sz val="10"/>
    </font>
    <font>
      <name val="Calibri"/>
      <family val="2"/>
      <sz val="10"/>
    </font>
    <font>
      <name val="Arial"/>
      <family val="2"/>
      <b val="1"/>
      <color theme="1"/>
      <sz val="8"/>
    </font>
    <font>
      <name val="Calibri"/>
      <family val="2"/>
      <b val="1"/>
      <color rgb="FF1F3864"/>
      <sz val="14"/>
    </font>
    <font>
      <name val="Calibri"/>
      <family val="2"/>
      <i val="1"/>
      <color rgb="FF595959"/>
      <sz val="10"/>
    </font>
    <font>
      <name val="Calibri"/>
      <family val="2"/>
      <b val="1"/>
      <color rgb="FF1F3864"/>
      <sz val="11"/>
    </font>
    <font>
      <name val="Calibri"/>
      <family val="2"/>
      <sz val="10"/>
    </font>
    <font>
      <name val="Calibri"/>
      <family val="2"/>
      <b val="1"/>
      <i val="1"/>
      <color rgb="FFC00000"/>
      <sz val="11"/>
    </font>
    <font>
      <name val="Calibri"/>
      <family val="2"/>
      <b val="1"/>
      <color rgb="FFFFFFFF"/>
      <sz val="11"/>
    </font>
    <font>
      <name val="Calibri"/>
      <family val="2"/>
      <b val="1"/>
      <color rgb="FF1F3864"/>
      <sz val="10"/>
    </font>
    <font>
      <name val="Calibri"/>
      <family val="2"/>
      <b val="1"/>
      <color rgb="FFC00000"/>
      <sz val="10"/>
    </font>
    <font>
      <name val="Calibri"/>
      <family val="2"/>
      <sz val="10"/>
    </font>
    <font>
      <name val="Calibri"/>
      <family val="2"/>
      <b val="1"/>
      <color rgb="FF1F3864"/>
      <sz val="11"/>
    </font>
    <font>
      <name val="Calibri"/>
      <family val="2"/>
      <sz val="10"/>
    </font>
    <font>
      <name val="Calibri"/>
      <family val="2"/>
      <color theme="10"/>
      <sz val="12"/>
      <scheme val="minor"/>
    </font>
    <font>
      <b val="1"/>
      <color rgb="00FFFFFF"/>
    </font>
    <font>
      <name val="Arial"/>
      <b val="1"/>
      <color rgb="001F4E78"/>
      <sz val="14"/>
    </font>
    <font>
      <name val="Arial"/>
      <color rgb="001F1F1F"/>
      <sz val="10"/>
    </font>
    <font>
      <name val="Arial"/>
      <b val="1"/>
      <color rgb="001F1F1F"/>
      <sz val="10"/>
    </font>
    <font>
      <name val="Arial"/>
      <b val="1"/>
      <color rgb="001F4E78"/>
      <sz val="13"/>
    </font>
    <font>
      <name val="Arial"/>
      <i val="1"/>
      <color rgb="001F1F1F"/>
      <sz val="10"/>
    </font>
    <font>
      <name val="Arial"/>
      <b val="1"/>
      <color rgb="00FFFFFF"/>
      <sz val="10"/>
    </font>
    <font>
      <name val="Arial"/>
      <color rgb="000563C1"/>
      <sz val="10"/>
      <u val="single"/>
    </font>
  </fonts>
  <fills count="13">
    <fill>
      <patternFill/>
    </fill>
    <fill>
      <patternFill patternType="gray125"/>
    </fill>
    <fill>
      <patternFill patternType="solid">
        <fgColor rgb="FF0F766E"/>
      </patternFill>
    </fill>
    <fill>
      <patternFill patternType="solid">
        <fgColor rgb="FFEAF3FF"/>
      </patternFill>
    </fill>
    <fill>
      <patternFill patternType="solid">
        <fgColor rgb="FF1F4E78"/>
      </patternFill>
    </fill>
    <fill>
      <patternFill patternType="solid">
        <fgColor rgb="FFEAF6EA"/>
      </patternFill>
    </fill>
    <fill>
      <patternFill patternType="solid">
        <fgColor rgb="FFFFF2CC"/>
      </patternFill>
    </fill>
    <fill>
      <patternFill patternType="solid">
        <fgColor rgb="FFFFF2CC"/>
      </patternFill>
    </fill>
    <fill>
      <patternFill patternType="solid">
        <fgColor rgb="FF1F3864"/>
      </patternFill>
    </fill>
    <fill>
      <patternFill patternType="solid">
        <fgColor rgb="FFD9E1F2"/>
      </patternFill>
    </fill>
    <fill>
      <patternFill patternType="solid">
        <fgColor rgb="001F4E78"/>
      </patternFill>
    </fill>
    <fill>
      <patternFill patternType="solid">
        <fgColor rgb="00FFFFFF"/>
      </patternFill>
    </fill>
    <fill>
      <patternFill patternType="solid">
        <fgColor rgb="00F7FBFF"/>
      </patternFill>
    </fill>
  </fills>
  <borders count="16">
    <border>
      <left/>
      <right/>
      <top/>
      <bottom/>
      <diagonal/>
    </border>
    <border>
      <left/>
      <right/>
      <top/>
      <bottom style="thin">
        <color rgb="FFB7C9E2"/>
      </bottom>
      <diagonal/>
    </border>
    <border>
      <left/>
      <right/>
      <top/>
      <bottom style="thin">
        <color rgb="FFB7C9E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
    <border>
      <left style="thin">
        <color rgb="00D9E2F3"/>
      </left>
      <right style="thin">
        <color rgb="00D9E2F3"/>
      </right>
      <top style="thin">
        <color rgb="00D9E2F3"/>
      </top>
      <bottom style="thin">
        <color rgb="00D9E2F3"/>
      </bottom>
    </border>
    <border>
      <left/>
      <right/>
      <top style="thin">
        <color rgb="00D9E2F3"/>
      </top>
      <bottom/>
      <diagonal/>
    </border>
    <border>
      <left style="thin">
        <color rgb="00D9E2F3"/>
      </left>
      <right/>
      <top/>
      <bottom/>
      <diagonal/>
    </border>
    <border>
      <left/>
      <right style="thin">
        <color rgb="00D9E2F3"/>
      </right>
      <top style="thin">
        <color rgb="00D9E2F3"/>
      </top>
      <bottom/>
      <diagonal/>
    </border>
    <border>
      <left/>
      <right style="thin">
        <color rgb="00D9E2F3"/>
      </right>
      <top/>
      <bottom/>
      <diagonal/>
    </border>
    <border>
      <left style="thin">
        <color rgb="00D9E2F3"/>
      </left>
      <right/>
      <top/>
      <bottom style="thin">
        <color rgb="00D9E2F3"/>
      </bottom>
      <diagonal/>
    </border>
    <border>
      <left/>
      <right/>
      <top/>
      <bottom style="thin">
        <color rgb="00D9E2F3"/>
      </bottom>
      <diagonal/>
    </border>
    <border>
      <left/>
      <right style="thin">
        <color rgb="00D9E2F3"/>
      </right>
      <top/>
      <bottom style="thin">
        <color rgb="00D9E2F3"/>
      </bottom>
      <diagonal/>
    </border>
    <border>
      <left/>
      <right style="thin">
        <color rgb="00D9E2F3"/>
      </right>
      <top style="thin">
        <color rgb="00D9E2F3"/>
      </top>
      <bottom style="thin">
        <color rgb="00D9E2F3"/>
      </bottom>
      <diagonal/>
    </border>
  </borders>
  <cellStyleXfs count="2">
    <xf numFmtId="0" fontId="0" fillId="0" borderId="0"/>
    <xf numFmtId="0" fontId="18" fillId="0" borderId="0"/>
  </cellStyleXfs>
  <cellXfs count="87">
    <xf numFmtId="0" fontId="0" fillId="0" borderId="0" pivotButton="0" quotePrefix="0" xfId="0"/>
    <xf numFmtId="0" fontId="3" fillId="4" borderId="1" applyAlignment="1" pivotButton="0" quotePrefix="0" xfId="0">
      <alignment horizontal="center" vertical="center" wrapText="1"/>
    </xf>
    <xf numFmtId="0" fontId="4" fillId="3" borderId="1" applyAlignment="1" pivotButton="0" quotePrefix="0" xfId="0">
      <alignment vertical="top" wrapText="1"/>
    </xf>
    <xf numFmtId="1" fontId="4" fillId="3" borderId="1" applyAlignment="1" pivotButton="0" quotePrefix="0" xfId="0">
      <alignment vertical="top" wrapText="1"/>
    </xf>
    <xf numFmtId="0" fontId="0" fillId="0" borderId="1" pivotButton="0" quotePrefix="0" xfId="0"/>
    <xf numFmtId="0" fontId="0" fillId="5" borderId="1" applyAlignment="1" pivotButton="0" quotePrefix="0" xfId="0">
      <alignment horizontal="center" vertical="center" wrapText="1"/>
    </xf>
    <xf numFmtId="0" fontId="4" fillId="0" borderId="1" applyAlignment="1" pivotButton="0" quotePrefix="0" xfId="0">
      <alignment vertical="top" wrapText="1"/>
    </xf>
    <xf numFmtId="1" fontId="4" fillId="0" borderId="1" applyAlignment="1" pivotButton="0" quotePrefix="0" xfId="0">
      <alignment vertical="top" wrapText="1"/>
    </xf>
    <xf numFmtId="0" fontId="0" fillId="0" borderId="1" applyAlignment="1" pivotButton="0" quotePrefix="0" xfId="0">
      <alignment horizontal="center" vertical="center" wrapText="1"/>
    </xf>
    <xf numFmtId="0" fontId="3" fillId="4" borderId="0" applyAlignment="1" pivotButton="0" quotePrefix="0" xfId="0">
      <alignment horizontal="center" vertical="center" wrapText="1"/>
    </xf>
    <xf numFmtId="1" fontId="0" fillId="0" borderId="0" pivotButton="0" quotePrefix="0" xfId="0"/>
    <xf numFmtId="0" fontId="5" fillId="0" borderId="0" applyAlignment="1" pivotButton="0" quotePrefix="0" xfId="0">
      <alignment vertical="top" wrapText="1"/>
    </xf>
    <xf numFmtId="0" fontId="6" fillId="0" borderId="3" applyAlignment="1" pivotButton="0" quotePrefix="0" xfId="0">
      <alignment horizontal="justify" vertical="center"/>
    </xf>
    <xf numFmtId="0" fontId="6" fillId="0" borderId="4" applyAlignment="1" pivotButton="0" quotePrefix="0" xfId="0">
      <alignment horizontal="justify" vertical="center"/>
    </xf>
    <xf numFmtId="0" fontId="9" fillId="0" borderId="0" applyAlignment="1" pivotButton="0" quotePrefix="0" xfId="0">
      <alignment vertical="top" wrapText="1"/>
    </xf>
    <xf numFmtId="0" fontId="10" fillId="0" borderId="0" applyAlignment="1" pivotButton="0" quotePrefix="0" xfId="0">
      <alignment vertical="top" wrapText="1"/>
    </xf>
    <xf numFmtId="0" fontId="9" fillId="0" borderId="0" pivotButton="0" quotePrefix="0" xfId="0"/>
    <xf numFmtId="0" fontId="0" fillId="0" borderId="0" applyAlignment="1" pivotButton="0" quotePrefix="0" xfId="0">
      <alignment horizontal="center" vertical="top"/>
    </xf>
    <xf numFmtId="0" fontId="10" fillId="7" borderId="0" applyAlignment="1" pivotButton="0" quotePrefix="0" xfId="0">
      <alignment vertical="top" wrapText="1"/>
    </xf>
    <xf numFmtId="0" fontId="12" fillId="8"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5" applyAlignment="1" pivotButton="0" quotePrefix="0" xfId="0">
      <alignment vertical="top" wrapText="1"/>
    </xf>
    <xf numFmtId="0" fontId="0" fillId="0" borderId="5" pivotButton="0" quotePrefix="0" xfId="0"/>
    <xf numFmtId="0" fontId="13" fillId="0" borderId="0" applyAlignment="1" pivotButton="0" quotePrefix="0" xfId="0">
      <alignment vertical="top" wrapText="1"/>
    </xf>
    <xf numFmtId="0" fontId="14" fillId="7" borderId="0" pivotButton="0" quotePrefix="0" xfId="0"/>
    <xf numFmtId="0" fontId="8" fillId="7" borderId="0" applyAlignment="1" pivotButton="0" quotePrefix="0" xfId="0">
      <alignment vertical="top" wrapText="1"/>
    </xf>
    <xf numFmtId="0" fontId="5" fillId="7" borderId="0" applyAlignment="1" pivotButton="0" quotePrefix="0" xfId="0">
      <alignment vertical="top" wrapText="1"/>
    </xf>
    <xf numFmtId="0" fontId="5" fillId="0" borderId="5" applyAlignment="1" pivotButton="0" quotePrefix="0" xfId="0">
      <alignment vertical="top" wrapText="1"/>
    </xf>
    <xf numFmtId="0" fontId="15" fillId="0" borderId="0" applyAlignment="1" pivotButton="0" quotePrefix="0" xfId="0">
      <alignment vertical="top" wrapText="1"/>
    </xf>
    <xf numFmtId="0" fontId="15" fillId="0" borderId="1" pivotButton="0" quotePrefix="0" xfId="0"/>
    <xf numFmtId="0" fontId="16" fillId="9" borderId="0" pivotButton="0" quotePrefix="0" xfId="0"/>
    <xf numFmtId="0" fontId="17" fillId="0" borderId="0" pivotButton="0" quotePrefix="0" xfId="0"/>
    <xf numFmtId="0" fontId="16" fillId="0" borderId="0" pivotButton="0" quotePrefix="0" xfId="0"/>
    <xf numFmtId="0" fontId="2" fillId="3" borderId="0" applyAlignment="1" pivotButton="0" quotePrefix="0" xfId="0">
      <alignment vertical="top" wrapText="1"/>
    </xf>
    <xf numFmtId="0" fontId="0" fillId="0" borderId="0" pivotButton="0" quotePrefix="0" xfId="0"/>
    <xf numFmtId="0" fontId="1" fillId="2" borderId="0" applyAlignment="1" pivotButton="0" quotePrefix="0" xfId="0">
      <alignment vertical="center"/>
    </xf>
    <xf numFmtId="0" fontId="11" fillId="0" borderId="0" pivotButton="0" quotePrefix="0" xfId="0"/>
    <xf numFmtId="0" fontId="8" fillId="0" borderId="0" pivotButton="0" quotePrefix="0" xfId="0"/>
    <xf numFmtId="0" fontId="7" fillId="0" borderId="0" pivotButton="0" quotePrefix="0" xfId="0"/>
    <xf numFmtId="0" fontId="4" fillId="6" borderId="2" applyAlignment="1" pivotButton="0" quotePrefix="0" xfId="0">
      <alignment vertical="top" wrapText="1"/>
    </xf>
    <xf numFmtId="0" fontId="0" fillId="0" borderId="2" pivotButton="0" quotePrefix="0" xfId="0"/>
    <xf numFmtId="0" fontId="3" fillId="4" borderId="2" applyAlignment="1" pivotButton="0" quotePrefix="0" xfId="0">
      <alignment horizontal="left" vertical="center"/>
    </xf>
    <xf numFmtId="0" fontId="4" fillId="3" borderId="2" applyAlignment="1" pivotButton="0" quotePrefix="0" xfId="0">
      <alignment vertical="top" wrapText="1"/>
    </xf>
    <xf numFmtId="0" fontId="1" fillId="2"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horizontal="center" vertical="top" wrapText="1"/>
    </xf>
    <xf numFmtId="0" fontId="14" fillId="7" borderId="0" applyAlignment="1" pivotButton="0" quotePrefix="0" xfId="0">
      <alignment vertical="top" wrapText="1"/>
    </xf>
    <xf numFmtId="0" fontId="12" fillId="8" borderId="5" applyAlignment="1" pivotButton="0" quotePrefix="0" xfId="0">
      <alignment horizontal="center" vertical="top" wrapText="1"/>
    </xf>
    <xf numFmtId="0" fontId="1" fillId="2" borderId="0" applyAlignment="1" pivotButton="0" quotePrefix="0" xfId="0">
      <alignment vertical="top" wrapText="1"/>
    </xf>
    <xf numFmtId="0" fontId="3" fillId="4" borderId="1" applyAlignment="1" pivotButton="0" quotePrefix="0" xfId="0">
      <alignment horizontal="center" vertical="top" wrapText="1"/>
    </xf>
    <xf numFmtId="0" fontId="12" fillId="4" borderId="2" applyAlignment="1" pivotButton="0" quotePrefix="0" xfId="0">
      <alignment horizontal="center" vertical="top" wrapText="1"/>
    </xf>
    <xf numFmtId="0" fontId="18" fillId="0" borderId="0" applyAlignment="1" pivotButton="0" quotePrefix="0" xfId="1">
      <alignment vertical="top" wrapText="1"/>
    </xf>
    <xf numFmtId="0" fontId="12" fillId="4" borderId="0" applyAlignment="1" pivotButton="0" quotePrefix="0" xfId="0">
      <alignment horizontal="center" vertical="center" wrapText="1"/>
    </xf>
    <xf numFmtId="0" fontId="19" fillId="10"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horizontal="center" vertical="top" wrapText="1"/>
    </xf>
    <xf numFmtId="0" fontId="0" fillId="5" borderId="1" applyAlignment="1" pivotButton="0" quotePrefix="0" xfId="0">
      <alignment horizontal="center" vertical="top" wrapText="1"/>
    </xf>
    <xf numFmtId="1" fontId="0" fillId="0" borderId="0" applyAlignment="1" pivotButton="0" quotePrefix="0" xfId="0">
      <alignment vertical="top" wrapText="1"/>
    </xf>
    <xf numFmtId="0" fontId="0" fillId="0" borderId="1" applyAlignment="1" pivotButton="0" quotePrefix="0" xfId="0">
      <alignment horizontal="center" vertical="top" wrapText="1"/>
    </xf>
    <xf numFmtId="0" fontId="15" fillId="0" borderId="1" applyAlignment="1" pivotButton="0" quotePrefix="0" xfId="0">
      <alignment vertical="top" wrapText="1"/>
    </xf>
    <xf numFmtId="0" fontId="3" fillId="4" borderId="2" applyAlignment="1" pivotButton="0" quotePrefix="0" xfId="0">
      <alignment horizontal="left" vertical="top" wrapText="1"/>
    </xf>
    <xf numFmtId="0" fontId="12" fillId="4" borderId="2" applyAlignment="1" pivotButton="0" quotePrefix="0" xfId="0">
      <alignment vertical="top" wrapText="1"/>
    </xf>
    <xf numFmtId="0" fontId="18" fillId="0" borderId="0" pivotButton="0" quotePrefix="0" xfId="1"/>
    <xf numFmtId="0" fontId="20" fillId="0" borderId="6" applyAlignment="1" pivotButton="0" quotePrefix="0" xfId="0">
      <alignment vertical="top" wrapText="1"/>
    </xf>
    <xf numFmtId="0" fontId="21" fillId="11" borderId="6" applyAlignment="1" pivotButton="0" quotePrefix="0" xfId="0">
      <alignment vertical="top" wrapText="1"/>
    </xf>
    <xf numFmtId="0" fontId="0" fillId="0" borderId="6" applyAlignment="1" pivotButton="0" quotePrefix="0" xfId="0">
      <alignment vertical="top" wrapText="1"/>
    </xf>
    <xf numFmtId="0" fontId="22" fillId="11" borderId="6" applyAlignment="1" pivotButton="0" quotePrefix="0" xfId="0">
      <alignment vertical="top" wrapText="1"/>
    </xf>
    <xf numFmtId="0" fontId="10" fillId="0" borderId="6" applyAlignment="1" pivotButton="0" quotePrefix="0" xfId="0">
      <alignment vertical="top" wrapText="1"/>
    </xf>
    <xf numFmtId="0" fontId="8" fillId="7" borderId="6" applyAlignment="1" pivotButton="0" quotePrefix="0" xfId="0">
      <alignment vertical="top" wrapText="1"/>
    </xf>
    <xf numFmtId="0" fontId="11" fillId="0" borderId="6" applyAlignment="1" pivotButton="0" quotePrefix="0" xfId="0">
      <alignment vertical="top" wrapText="1"/>
    </xf>
    <xf numFmtId="0" fontId="23" fillId="11" borderId="6" applyAlignment="1" pivotButton="0" quotePrefix="0" xfId="0">
      <alignment vertical="top" wrapText="1"/>
    </xf>
    <xf numFmtId="0" fontId="24" fillId="11" borderId="6" applyAlignment="1" pivotButton="0" quotePrefix="0" xfId="0">
      <alignment vertical="top" wrapText="1"/>
    </xf>
    <xf numFmtId="0" fontId="25" fillId="10" borderId="7" applyAlignment="1" pivotButton="0" quotePrefix="0" xfId="0">
      <alignment horizontal="center" vertical="center" wrapText="1"/>
    </xf>
    <xf numFmtId="0" fontId="21" fillId="11" borderId="7" applyAlignment="1" pivotButton="0" quotePrefix="0" xfId="0">
      <alignment vertical="top" wrapText="1"/>
    </xf>
    <xf numFmtId="0" fontId="21" fillId="12" borderId="7" applyAlignment="1" pivotButton="0" quotePrefix="0" xfId="0">
      <alignment vertical="top" wrapText="1"/>
    </xf>
    <xf numFmtId="0" fontId="26" fillId="11" borderId="7" applyAlignment="1" pivotButton="0" quotePrefix="0" xfId="1">
      <alignment vertical="top" wrapText="1"/>
    </xf>
    <xf numFmtId="0" fontId="26" fillId="12" borderId="7" applyAlignment="1" pivotButton="0" quotePrefix="0" xfId="1">
      <alignment vertical="top" wrapText="1"/>
    </xf>
    <xf numFmtId="1" fontId="21" fillId="11" borderId="7" applyAlignment="1" pivotButton="0" quotePrefix="0" xfId="0">
      <alignment vertical="top" wrapText="1"/>
    </xf>
    <xf numFmtId="1" fontId="21" fillId="12" borderId="7" applyAlignment="1" pivotButton="0" quotePrefix="0" xfId="0">
      <alignment vertical="top" wrapText="1"/>
    </xf>
    <xf numFmtId="0" fontId="0" fillId="0" borderId="15" pivotButton="0" quotePrefix="0" xfId="0"/>
    <xf numFmtId="0" fontId="0" fillId="0" borderId="8" pivotButton="0" quotePrefix="0" xfId="0"/>
    <xf numFmtId="0" fontId="0" fillId="0" borderId="10" pivotButton="0" quotePrefix="0" xfId="0"/>
    <xf numFmtId="0" fontId="0" fillId="0" borderId="12" pivotButton="0" quotePrefix="0" xfId="0"/>
    <xf numFmtId="0" fontId="0" fillId="0" borderId="13" pivotButton="0" quotePrefix="0" xfId="0"/>
    <xf numFmtId="0" fontId="0" fillId="0" borderId="14" pivotButton="0" quotePrefix="0" xfId="0"/>
    <xf numFmtId="0" fontId="20" fillId="11" borderId="6" applyAlignment="1" pivotButton="0" quotePrefix="0" xfId="0">
      <alignment vertical="top" wrapText="1"/>
    </xf>
  </cellXfs>
  <cellStyles count="2">
    <cellStyle name="Normal" xfId="0" builtinId="0"/>
    <cellStyle name="Hyperlink" xfId="1" builtinId="8" hidden="0"/>
  </cellStyles>
  <dxfs count="3">
    <dxf>
      <fill>
        <patternFill>
          <bgColor rgb="FFFDE9E7"/>
        </patternFill>
      </fill>
    </dxf>
    <dxf>
      <fill>
        <patternFill>
          <bgColor rgb="FFFFF2CC"/>
        </patternFill>
      </fill>
    </dxf>
    <dxf>
      <fill>
        <patternFill>
          <bgColor rgb="FFEAF6E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Protocolo SLR</author>
  </authors>
  <commentList>
    <comment ref="D3" authorId="0" shapeId="0">
      <text>
        <t>Q1: El objetivo o pregunta del estudio está claramente definido.
0 = no cumple | 1 = parcial | 2 = cumple bien</t>
      </text>
    </comment>
    <comment ref="E3" authorId="0" shapeId="0">
      <text>
        <t>Q2: Identifica el patógeno a nivel de especie (o al menos género) de forma clara.
0 = no cumple | 1 = parcial | 2 = cumple bien</t>
      </text>
    </comment>
    <comment ref="F3" authorId="0" shapeId="0">
      <text>
        <t>Q3: Describe la enfermedad y los síntomas en el TALLO/tronco con claridad.
0 = no cumple | 1 = parcial | 2 = cumple bien</t>
      </text>
    </comment>
    <comment ref="G3" authorId="0" shapeId="0">
      <text>
        <t>Q4: Se realiza sobre aguacate (Persea americana) o es claramente extrapolable a él.
0 = no cumple | 1 = parcial | 2 = cumple bien</t>
      </text>
    </comment>
    <comment ref="H3" authorId="0" shapeId="0">
      <text>
        <t>Q5: La metodología (muestreo, aislamiento, identificación/diagnóstico) está descrita y es replicable.
0 = no cumple | 1 = parcial | 2 = cumple bien</t>
      </text>
    </comment>
    <comment ref="I3" authorId="0" shapeId="0">
      <text>
        <t>Q6: Aporta evidencia que respalda las conclusiones (imágenes, mediciones, laboratorio, secuencias).
0 = no cumple | 1 = parcial | 2 = cumple bien</t>
      </text>
    </comment>
    <comment ref="J3" authorId="0" shapeId="0">
      <text>
        <t>Q7: Menciona métodos de detección/diagnóstico (visual, molecular, imagen o IA) útiles para la app.
0 = no cumple | 1 = parcial | 2 = cumple bien</t>
      </text>
    </comment>
    <comment ref="K3" authorId="0" shapeId="0">
      <text>
        <t>Q8: Indica el contexto geográfico/región (mundial o Latinoamérica) y las condiciones.
0 = no cumple | 1 = parcial | 2 = cumple bien</t>
      </text>
    </comment>
    <comment ref="L3" authorId="0" shapeId="0">
      <text>
        <t>Q9: Resultados y conclusiones claros y coherentes con los datos presentados.
0 = no cumple | 1 = parcial | 2 = cumple bien</t>
      </text>
    </comment>
    <comment ref="M3" authorId="0" shapeId="0">
      <text>
        <t>Q10: Fuente confiable y actual (revista revisada por pares, citable, año dentro del rango).
0 = no cumple | 1 = parcial | 2 = cumple bien</t>
      </text>
    </comment>
    <comment ref="N3" authorId="0" shapeId="0">
      <text>
        <t>Puntaje total = suma de Q1..Q10 (0 a 20). Se calcula solo.</t>
      </text>
    </comment>
    <comment ref="O3" authorId="0" shapeId="0">
      <text>
        <t>Nivel = Alta (16-20) / Media (11-15) / Baja (&lt;=10). Se calcula solo.</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file:///C:/Users/plusm/Desktop/Tesis/Bibliografia/_Bibliografia%20adicional%202026/07_Agallas_Trioza_anceps_Torres_Gurrola_2011_UNAM.url" TargetMode="External" Id="rId1"/><Relationship Type="http://schemas.openxmlformats.org/officeDocument/2006/relationships/hyperlink" Target="file:///C:/Users/plusm/Desktop/Tesis/Bibliografia/_Bibliografia%20adicional%202026/08_Agallas_Trioza_anceps_Rincon_Hernandez_2008.url" TargetMode="External" Id="rId2"/><Relationship Type="http://schemas.openxmlformats.org/officeDocument/2006/relationships/hyperlink" Target="file:///C:/Users/plusm/Desktop/Tesis/Bibliografia/_Bibliografia%20adicional%202026/bibliografia_adicional.bib" TargetMode="External" Id="rId3"/><Relationship Type="http://schemas.openxmlformats.org/officeDocument/2006/relationships/hyperlink" Target="file:///C:/Users/plusm/Desktop/Tesis/Bibliografia/_Bibliografia%20adicional%202026/bibliografia_adicional.bib" TargetMode="External" Id="rId4"/><Relationship Type="http://schemas.openxmlformats.org/officeDocument/2006/relationships/hyperlink" Target="file:///C:/Users/plusm/Desktop/Tesis/Bibliografia/Agallas%20foliares/s10971-026-07179-z.pdf" TargetMode="External" Id="rId5"/><Relationship Type="http://schemas.openxmlformats.org/officeDocument/2006/relationships/hyperlink" Target="file:///C:/Users/plusm/Desktop/Tesis/Bibliografia/Antracnosis/IEEE%20Xplore/Unified%20Approach%20for%20Avocado%20Leaf%20Disease%20Classification_%20CNN-SVM%20Fusion.url" TargetMode="External" Id="rId6"/><Relationship Type="http://schemas.openxmlformats.org/officeDocument/2006/relationships/hyperlink" Target="file:///C:/Users/plusm/Desktop/Tesis/Bibliografia/_Bibliografia%20adicional%202026/01_Antracnosis_Uysal_Kurt_2020.url" TargetMode="External" Id="rId7"/><Relationship Type="http://schemas.openxmlformats.org/officeDocument/2006/relationships/hyperlink" Target="file:///C:/Users/plusm/Desktop/Tesis/Bibliografia/Antracnosis/scopus_export_Sep%209-2026_f215638f-fffb-429f-adc7-ae9f84755503.csv" TargetMode="External" Id="rId8"/><Relationship Type="http://schemas.openxmlformats.org/officeDocument/2006/relationships/hyperlink" Target="file:///C:/Users/plusm/Desktop/Tesis/Bibliografia/Vision%20artificial%20y%20UAV/IEEE%20Xplore/Unified%20Approach%20for%20Avocado%20Leaf%20Disease%20Classification_%20CNN-SVM%20Fusion.md" TargetMode="External" Id="rId9"/><Relationship Type="http://schemas.openxmlformats.org/officeDocument/2006/relationships/hyperlink" Target="file:///C:/Users/plusm/Desktop/Tesis/Bibliografia/Antracnosis/scopus_export_Sep%209-2026_f215638f-fffb-429f-adc7-ae9f84755503.csv" TargetMode="External" Id="rId10"/><Relationship Type="http://schemas.openxmlformats.org/officeDocument/2006/relationships/hyperlink" Target="file:///C:/Users/plusm/Desktop/Tesis/Bibliografia/Antracnosis/Springer/s00253-026-13715-2.pdf" TargetMode="External" Id="rId11"/><Relationship Type="http://schemas.openxmlformats.org/officeDocument/2006/relationships/hyperlink" Target="file:///C:/Users/plusm/Desktop/Tesis/Bibliografia/Antracnosis/scopus_export_Sep%209-2026_f215638f-fffb-429f-adc7-ae9f84755503.csv" TargetMode="External" Id="rId12"/><Relationship Type="http://schemas.openxmlformats.org/officeDocument/2006/relationships/hyperlink" Target="file:///C:/Users/plusm/Desktop/Tesis/Bibliografia/Antracnosis/s41598-026-50025-z.pdf" TargetMode="External" Id="rId13"/><Relationship Type="http://schemas.openxmlformats.org/officeDocument/2006/relationships/hyperlink" Target="file:///C:/Users/plusm/Desktop/Tesis/Bibliografia/Antracnosis/agriengineering-08-00340.pdf" TargetMode="External" Id="rId14"/><Relationship Type="http://schemas.openxmlformats.org/officeDocument/2006/relationships/hyperlink" Target="file:///C:/Users/plusm/Desktop/Tesis/Bibliografia/Antracnosis/scopus_export_Sep%209-2026_f215638f-fffb-429f-adc7-ae9f84755503.csv" TargetMode="External" Id="rId15"/><Relationship Type="http://schemas.openxmlformats.org/officeDocument/2006/relationships/hyperlink" Target="file:///C:/Users/plusm/Desktop/Tesis/Bibliografia/Cultivos%20comparativos/IEEE%20Xplore/CNN-Based%20Plant%20Leaf%20Disease%20Identification%20and%20Classification%20for%20Sustainable%20Agriculture.url" TargetMode="External" Id="rId16"/><Relationship Type="http://schemas.openxmlformats.org/officeDocument/2006/relationships/hyperlink" Target="file:///C:/Users/plusm/Desktop/Tesis/Bibliografia/Vision%20artificial%20y%20UAV/IEEE%20Xplore/Crop%20Disease%20Prediction%20System.url" TargetMode="External" Id="rId17"/><Relationship Type="http://schemas.openxmlformats.org/officeDocument/2006/relationships/hyperlink" Target="file:///C:/Users/plusm/Desktop/Tesis/Bibliografia/Cultivos%20comparativos/IEEE%20Xplore/Image-Based%20Plant%20Leaf%20Disease%20Detection%20using%20Deep%20Learning.url" TargetMode="External" Id="rId18"/><Relationship Type="http://schemas.openxmlformats.org/officeDocument/2006/relationships/hyperlink" Target="file:///C:/Users/plusm/Desktop/Tesis/Bibliografia/Cultivos%20comparativos/IEEE%20Xplore/Plant%20Disease%20Detection%20Using%20Deep%20Learning.url" TargetMode="External" Id="rId19"/><Relationship Type="http://schemas.openxmlformats.org/officeDocument/2006/relationships/hyperlink" Target="file:///C:/Users/plusm/Desktop/Tesis/Bibliografia/Vision%20artificial%20y%20UAV/IEEE%20Xplore/Real-Time%20Detection%20and%20Identification%20of%20Plant%20Leaf%20Diseases%20using%20YOLOv4-tiny.url" TargetMode="External" Id="rId20"/><Relationship Type="http://schemas.openxmlformats.org/officeDocument/2006/relationships/hyperlink" Target="file:///C:/Users/plusm/Desktop/Tesis/Bibliografia/Cultivos%20comparativos/Simultaneously%20prediction%20of%20multiple%20wheat%20leaf%20phenotypes%20using.pdf" TargetMode="External" Id="rId21"/><Relationship Type="http://schemas.openxmlformats.org/officeDocument/2006/relationships/hyperlink" Target="file:///C:/Users/plusm/Desktop/Tesis/Bibliografia/Fisiologia%20y%20riego/Mitigating%20negative%20effects%20of%20long-term%20treated%20wastewater%20irrigationLeaf.pdf" TargetMode="External" Id="rId22"/><Relationship Type="http://schemas.openxmlformats.org/officeDocument/2006/relationships/hyperlink" Target="file:///C:/Users/plusm/Desktop/Tesis/Bibliografia/Cultivos%20comparativos/IEEE%20Xplore/Plant%20Disease%20Detection%20Using%20Deep%20Learning.md" TargetMode="External" Id="rId23"/><Relationship Type="http://schemas.openxmlformats.org/officeDocument/2006/relationships/hyperlink" Target="file:///C:/Users/plusm/Desktop/Tesis/Bibliografia/Vision%20artificial%20y%20UAV/IEEE%20Xplore/Real-Time%20Detection%20and%20Identification%20of%20Plant%20Leaf%20Diseases%20using%20YOLOv4-tiny.md" TargetMode="External" Id="rId24"/><Relationship Type="http://schemas.openxmlformats.org/officeDocument/2006/relationships/hyperlink" Target="file:///C:/Users/plusm/Desktop/Tesis/Bibliografia/Cultivos%20comparativos/Implementation-of-deep-learning-for-image-based-potato-leaf-disease-detection.pdf" TargetMode="External" Id="rId25"/><Relationship Type="http://schemas.openxmlformats.org/officeDocument/2006/relationships/hyperlink" Target="file:///C:/Users/plusm/Desktop/Tesis/Bibliografia/Cultivos%20comparativos/IEEE%20Xplore/Image-Based%20Plant%20Leaf%20Disease%20Detection%20using%20Deep%20Learning.md" TargetMode="External" Id="rId26"/><Relationship Type="http://schemas.openxmlformats.org/officeDocument/2006/relationships/hyperlink" Target="file:///C:/Users/plusm/Desktop/Tesis/Bibliografia/Vision%20artificial%20y%20UAV/IEEE%20Xplore/Plant%20Leaf%20Disease%20Detection_%20Classification_%20and%20Diagnosis%20Using%20Computer%20Vision%20and%20Artificial%20Intelligence_%20A%20Review.md" TargetMode="External" Id="rId27"/><Relationship Type="http://schemas.openxmlformats.org/officeDocument/2006/relationships/hyperlink" Target="file:///C:/Users/plusm/Desktop/Tesis/Bibliografia/Cultivos%20comparativos/IEEE%20Xplore/CNN-Based%20Plant%20Leaf%20Disease%20Identification%20and%20Classification%20for%20Sustainable%20Agriculture.md" TargetMode="External" Id="rId28"/><Relationship Type="http://schemas.openxmlformats.org/officeDocument/2006/relationships/hyperlink" Target="file:///C:/Users/plusm/Desktop/Tesis/Bibliografia/Vision%20artificial%20y%20UAV/IEEE%20Xplore/Crop%20Disease%20Prediction%20System.md" TargetMode="External" Id="rId29"/><Relationship Type="http://schemas.openxmlformats.org/officeDocument/2006/relationships/hyperlink" Target="file:///C:/Users/plusm/Desktop/Tesis/Bibliografia/_Bibliografia%20adicional%202026/06_Arana_roja_Oligonychus_punicae_Oliveira_2021.url" TargetMode="External" Id="rId30"/><Relationship Type="http://schemas.openxmlformats.org/officeDocument/2006/relationships/hyperlink" Target="file:///C:/Users/plusm/Desktop/Tesis/Bibliografia/Ara%C3%B1a%20roja/scopus_export_Sep%2010-2026_7aa1caac-78ac-4052-b0ac-49ff0bda6f9c.csv" TargetMode="External" Id="rId31"/><Relationship Type="http://schemas.openxmlformats.org/officeDocument/2006/relationships/hyperlink" Target="file:///C:/Users/plusm/Desktop/Tesis/Bibliografia/Ara%C3%B1a%20roja/scopus_export_Sep%2010-2026_7aa1caac-78ac-4052-b0ac-49ff0bda6f9c.csv" TargetMode="External" Id="rId32"/><Relationship Type="http://schemas.openxmlformats.org/officeDocument/2006/relationships/hyperlink" Target="file:///C:/Users/plusm/Desktop/Tesis/Bibliografia/_Bibliografia%20adicional%202026/05_Arana_roja_Oligonychus_perseae_Torres_2022.url" TargetMode="External" Id="rId33"/><Relationship Type="http://schemas.openxmlformats.org/officeDocument/2006/relationships/hyperlink" Target="file:///C:/Users/plusm/Desktop/Tesis/Bibliografia/Ara%C3%B1a%20roja/scopus_export_Sep%2010-2026_7aa1caac-78ac-4052-b0ac-49ff0bda6f9c.csv" TargetMode="External" Id="rId34"/><Relationship Type="http://schemas.openxmlformats.org/officeDocument/2006/relationships/hyperlink" Target="file:///C:/Users/plusm/Desktop/Tesis/Bibliografia/Ara%C3%B1a%20roja/scopus_export_Sep%2010-2026_7aa1caac-78ac-4052-b0ac-49ff0bda6f9c.csv" TargetMode="External" Id="rId35"/><Relationship Type="http://schemas.openxmlformats.org/officeDocument/2006/relationships/hyperlink" Target="file:///C:/Users/plusm/Desktop/Tesis/Bibliografia/Ara%C3%B1a%20roja/scopus_export_Sep%2010-2026_7aa1caac-78ac-4052-b0ac-49ff0bda6f9c.csv" TargetMode="External" Id="rId36"/><Relationship Type="http://schemas.openxmlformats.org/officeDocument/2006/relationships/hyperlink" Target="file:///C:/Users/plusm/Desktop/Tesis/Bibliografia/Ara%C3%B1a%20roja/scopus_export_Sep%2010-2026_7aa1caac-78ac-4052-b0ac-49ff0bda6f9c.csv" TargetMode="External" Id="rId37"/><Relationship Type="http://schemas.openxmlformats.org/officeDocument/2006/relationships/hyperlink" Target="file:///C:/Users/plusm/Desktop/Tesis/Bibliografia/_Bibliografia%20adicional%202026/02_Tizon_Pseudocercospora_norchiensis_Dai_2026.url" TargetMode="External" Id="rId38"/><Relationship Type="http://schemas.openxmlformats.org/officeDocument/2006/relationships/hyperlink" Target="file:///C:/Users/plusm/Desktop/Tesis/Bibliografia/_Bibliografia%20adicional%202026/04_Cercospora_van_Eeden_Korsten_2013.url" TargetMode="External" Id="rId39"/><Relationship Type="http://schemas.openxmlformats.org/officeDocument/2006/relationships/hyperlink" Target="file:///C:/Users/plusm/Desktop/Tesis/Bibliografia/Cercospora/rcch%2C%2B03_Validation%2Bof%2Bblack%2Bspot%2B%5B%28Pseudocercospora%2Bpurpurea%2B%28Cooke%29%2BDeighton%5D%2Bmanagement%2Bstrategies%2Bin%2Bavocado%2Bcrops%2Bin%2Bnorther.pdf" TargetMode="External" Id="rId40"/><Relationship Type="http://schemas.openxmlformats.org/officeDocument/2006/relationships/hyperlink" Target="file:///C:/Users/plusm/Desktop/Tesis/Bibliografia/Mosca%20blanca/IEEE%20Xplore/Plant%20Leaf%20Disease%20Detection_%20Classification_%20and%20Diagnosis%20Using%20Computer%20Vision%20and%20Artificial%20Intelligence_%20A%20Review.url" TargetMode="External" Id="rId41"/><Relationship Type="http://schemas.openxmlformats.org/officeDocument/2006/relationships/hyperlink" Target="file:///C:/Users/plusm/Desktop/Tesis/Bibliografia/_Bibliografia%20adicional%202026/09_Rona_Scab_Belizaire_2024.url" TargetMode="External" Id="rId42"/><Relationship Type="http://schemas.openxmlformats.org/officeDocument/2006/relationships/hyperlink" Target="file:///C:/Users/plusm/Desktop/Tesis/Bibliografia/_Bibliografia%20adicional%202026/10_Rona_Scab_Chellappan_2024_PDF.url" TargetMode="External" Id="rId43"/><Relationship Type="http://schemas.openxmlformats.org/officeDocument/2006/relationships/hyperlink" Target="file:///C:/Users/plusm/Desktop/Tesis/Bibliografia/_Bibliografia%20adicional%202026/bibliografia_adicional.bib" TargetMode="External" Id="rId44"/><Relationship Type="http://schemas.openxmlformats.org/officeDocument/2006/relationships/hyperlink" Target="file:///C:/Users/plusm/Desktop/Tesis/Bibliografia/Real-time%20hass%20avocado%20ripeness%20detection%20using%20close-range%20UAV%20imagery%20and%20YOLO-based%20deep%20learning.pdf" TargetMode="External" Id="rId45"/><Relationship Type="http://schemas.openxmlformats.org/officeDocument/2006/relationships/hyperlink" Target="file:///C:/Users/plusm/Desktop/Tesis/Bibliografia/_Bibliografia%20adicional%202026/03_Tizon_Neopestalotiopsis_Darapanit_2021.url" TargetMode="External" Id="rId46"/><Relationship Type="http://schemas.openxmlformats.org/officeDocument/2006/relationships/hyperlink" Target="file:///C:/Users/plusm/Desktop/Tesis/Bibliografia/_Bibliografia%20adicional%202026/bibliografia_adicional.bib" TargetMode="External" Id="rId47"/><Relationship Type="http://schemas.openxmlformats.org/officeDocument/2006/relationships/hyperlink" Target="file:///C:/Users/plusm/Desktop/Tesis/Bibliografia/Tiz%C3%B3n%20de%20la%20hoja/ijpb-17-00010.pdf" TargetMode="External" Id="rId48"/></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52"/>
  <sheetViews>
    <sheetView showGridLines="0" topLeftCell="A1" zoomScale="115" workbookViewId="0">
      <selection activeCell="A1" sqref="A1"/>
    </sheetView>
  </sheetViews>
  <sheetFormatPr baseColWidth="10" defaultColWidth="8.88671875" defaultRowHeight="14.4"/>
  <cols>
    <col width="34" customWidth="1" style="34" min="1" max="1"/>
    <col width="95" customWidth="1" style="34" min="2" max="2"/>
  </cols>
  <sheetData>
    <row r="1" ht="24" customHeight="1" s="34">
      <c r="A1" s="86" t="inlineStr">
        <is>
          <t>PROTOCOLO DE LA REVISIÓN SISTEMÁTICA DE LITERATURA</t>
        </is>
      </c>
      <c r="B1" s="86" t="n"/>
    </row>
    <row r="2" ht="24" customHeight="1" s="34">
      <c r="A2" s="67" t="inlineStr">
        <is>
          <t>Paso 0 — Reglas definidas ANTES de filtrar. Este es el 'plan de vuelo': ajusta cada campo a tu proyecto.</t>
        </is>
      </c>
      <c r="B2" s="65" t="n"/>
    </row>
    <row r="3" ht="24" customHeight="1" s="34">
      <c r="A3" s="65" t="n"/>
      <c r="B3" s="65" t="n"/>
    </row>
    <row r="4" ht="24" customHeight="1" s="34">
      <c r="A4" s="67" t="inlineStr">
        <is>
          <t>1. Tema / Proyecto</t>
        </is>
      </c>
      <c r="B4" s="65" t="inlineStr">
        <is>
          <t>Integración de inteligencia artificial en una aplicación móvil para la detección de enfermedades y plagas foliares del aguacate (Persea americana).</t>
        </is>
      </c>
    </row>
    <row r="5" ht="24" customHeight="1" s="34">
      <c r="A5" s="67" t="inlineStr">
        <is>
          <t>2. Pregunta de investigación</t>
        </is>
      </c>
      <c r="B5" s="65" t="inlineStr">
        <is>
          <t>¿Qué enfermedades y plagas afectan las hojas del aguacate, qué síntomas visuales producen y qué métodos de IA, visión por computador o UAV permiten detectarlas entre 2021 y 2026?</t>
        </is>
      </c>
    </row>
    <row r="6" ht="24" customHeight="1" s="34">
      <c r="A6" s="67" t="inlineStr">
        <is>
          <t>3. Objetivo de esta SLR</t>
        </is>
      </c>
      <c r="B6" s="65" t="inlineStr">
        <is>
          <t>Sintetizar evidencia 2021-2026 sobre enfermedades/plagas foliares del aguacate y métodos de detección automatizada para alimentar el diseño del sistema de IA.</t>
        </is>
      </c>
    </row>
    <row r="7" ht="24" customHeight="1" s="34">
      <c r="A7" s="65" t="n"/>
      <c r="B7" s="65" t="n"/>
    </row>
    <row r="8" ht="24" customHeight="1" s="34">
      <c r="A8" s="67" t="inlineStr">
        <is>
          <t>4. Criterios de INCLUSIÓN</t>
        </is>
      </c>
      <c r="B8" s="65" t="n"/>
    </row>
    <row r="9" ht="24" customHeight="1" s="34">
      <c r="A9" s="67" t="inlineStr">
        <is>
          <t>•</t>
        </is>
      </c>
      <c r="B9" s="65" t="inlineStr">
        <is>
          <t>Trata sobre aguacate / Persea americana o aporta un método de detección foliar extrapolable.</t>
        </is>
      </c>
    </row>
    <row r="10" ht="24" customHeight="1" s="34">
      <c r="A10" s="67" t="inlineStr">
        <is>
          <t>•</t>
        </is>
      </c>
      <c r="B10" s="65" t="inlineStr">
        <is>
          <t>Menciona enfermedades o plagas foliares relevantes: antracnosis, Cercospora, ácaros, agallas, tizón foliar, roña u otras afecciones visibles en hoja.</t>
        </is>
      </c>
    </row>
    <row r="11" ht="24" customHeight="1" s="34">
      <c r="A11" s="67" t="inlineStr">
        <is>
          <t>•</t>
        </is>
      </c>
      <c r="B11" s="65" t="inlineStr">
        <is>
          <t>Aporta información sobre hojas, síntomas foliares, imagen, detección, clasificación, severidad, diagnóstico o monitoreo con IA/UAV/visión por computador.</t>
        </is>
      </c>
    </row>
    <row r="12" ht="24" customHeight="1" s="34">
      <c r="A12" s="67" t="inlineStr">
        <is>
          <t>•</t>
        </is>
      </c>
      <c r="B12" s="65" t="inlineStr">
        <is>
          <t>Es estudio primario, artículo técnico, ponencia IEEE o revisión metodológica relevante para el estado del arte.</t>
        </is>
      </c>
    </row>
    <row r="13" ht="24" customHeight="1" s="34">
      <c r="A13" s="67" t="inlineStr">
        <is>
          <t>•</t>
        </is>
      </c>
      <c r="B13" s="65" t="inlineStr">
        <is>
          <t>Idioma: español o inglés.</t>
        </is>
      </c>
    </row>
    <row r="14" ht="24" customHeight="1" s="34">
      <c r="A14" s="65" t="n"/>
      <c r="B14" s="65" t="n"/>
    </row>
    <row r="15" ht="24" customHeight="1" s="34">
      <c r="A15" s="67" t="inlineStr">
        <is>
          <t>5. Criterios de EXCLUSIÓN</t>
        </is>
      </c>
      <c r="B15" s="65" t="n"/>
    </row>
    <row r="16" ht="24" customHeight="1" s="34">
      <c r="A16" s="67" t="inlineStr">
        <is>
          <t>•</t>
        </is>
      </c>
      <c r="B16" s="65" t="inlineStr">
        <is>
          <t>Se enfoca únicamente en raíz, tallo o fruto sin relación con hojas ni método extrapolable a diagnóstico foliar.</t>
        </is>
      </c>
    </row>
    <row r="17" ht="24" customHeight="1" s="34">
      <c r="A17" s="67" t="inlineStr">
        <is>
          <t>•</t>
        </is>
      </c>
      <c r="B17" s="65" t="inlineStr">
        <is>
          <t>No aporta información sobre enfermedad/plaga, síntomas, imagen, IA, diagnóstico o aplicación móvil.</t>
        </is>
      </c>
    </row>
    <row r="18" ht="24" customHeight="1" s="34">
      <c r="A18" s="67" t="inlineStr">
        <is>
          <t>•</t>
        </is>
      </c>
      <c r="B18" s="65" t="inlineStr">
        <is>
          <t>No especifica cultivo, órgano, enfermedad/plaga ni método utilizado.</t>
        </is>
      </c>
    </row>
    <row r="19" ht="24" customHeight="1" s="34">
      <c r="A19" s="67" t="inlineStr">
        <is>
          <t>•</t>
        </is>
      </c>
      <c r="B19" s="65" t="inlineStr">
        <is>
          <t>Registro duplicado (mismo DOI o título en otra base).</t>
        </is>
      </c>
    </row>
    <row r="20" ht="24" customHeight="1" s="34">
      <c r="A20" s="67" t="inlineStr">
        <is>
          <t>•</t>
        </is>
      </c>
      <c r="B20" s="65" t="inlineStr">
        <is>
          <t>Fuera del rango de años definido / idioma distinto de español o inglés.</t>
        </is>
      </c>
    </row>
    <row r="21" ht="24" customHeight="1" s="34">
      <c r="A21" s="65" t="n"/>
      <c r="B21" s="65" t="n"/>
    </row>
    <row r="22" ht="24" customHeight="1" s="34">
      <c r="A22" s="67" t="inlineStr">
        <is>
          <t>6. Grupos de patógenos considerados</t>
        </is>
      </c>
      <c r="B22" s="65" t="n"/>
    </row>
    <row r="23" ht="24" customHeight="1" s="34">
      <c r="A23" s="67" t="inlineStr">
        <is>
          <t>1. Antracnosis</t>
        </is>
      </c>
      <c r="B23" s="65" t="inlineStr">
        <is>
          <t>Colletotrichum spp.; C. gloeosporioides; C. karstii; C. fructicola</t>
        </is>
      </c>
    </row>
    <row r="24" ht="24" customHeight="1" s="34">
      <c r="A24" s="67" t="inlineStr">
        <is>
          <t>2. Cercospora</t>
        </is>
      </c>
      <c r="B24" s="65" t="inlineStr">
        <is>
          <t>Pseudocercospora purpurea; Cercospora purpurea; mancha negra</t>
        </is>
      </c>
    </row>
    <row r="25" ht="24" customHeight="1" s="34">
      <c r="A25" s="67" t="inlineStr">
        <is>
          <t>3. Pseudocercospora purpurea</t>
        </is>
      </c>
      <c r="B25" s="65" t="inlineStr">
        <is>
          <t>Pseudocercospora purpurea; Pseudocercospora norchiensis</t>
        </is>
      </c>
    </row>
    <row r="26" ht="24" customHeight="1" s="34">
      <c r="A26" s="67" t="inlineStr">
        <is>
          <t>4. Araña roja</t>
        </is>
      </c>
      <c r="B26" s="65" t="inlineStr">
        <is>
          <t>Oligonychus perseae; Oligonychus punicae; Oligonychus yothersi</t>
        </is>
      </c>
    </row>
    <row r="27" ht="24" customHeight="1" s="34">
      <c r="A27" s="67" t="inlineStr">
        <is>
          <t>5. Agallas foliares</t>
        </is>
      </c>
      <c r="B27" s="65" t="inlineStr">
        <is>
          <t>Trioza anceps; Trioza perseae; Trioza aguacatae</t>
        </is>
      </c>
    </row>
    <row r="28" ht="24" customHeight="1" s="34">
      <c r="A28" s="67" t="inlineStr">
        <is>
          <t>6. Tizón de la hoja</t>
        </is>
      </c>
      <c r="B28" s="65" t="inlineStr">
        <is>
          <t>Pestalotiopsis; Neopestalotiopsis; Pseudopestalotiopsis; Colletotrichum fructicola</t>
        </is>
      </c>
    </row>
    <row r="29" ht="24" customHeight="1" s="34">
      <c r="A29" s="67" t="inlineStr">
        <is>
          <t>7. Roña</t>
        </is>
      </c>
      <c r="B29" s="65" t="inlineStr">
        <is>
          <t>Elsinoe perseae; Sphaceloma perseae; avocado scab</t>
        </is>
      </c>
    </row>
    <row r="30" ht="24" customHeight="1" s="34">
      <c r="A30" s="67" t="inlineStr">
        <is>
          <t>8. Mosca blanca</t>
        </is>
      </c>
      <c r="B30" s="65" t="inlineStr">
        <is>
          <t>whitefly; Aleurodicus; Bemisia</t>
        </is>
      </c>
    </row>
    <row r="31" ht="24" customHeight="1" s="34">
      <c r="A31" s="67" t="inlineStr">
        <is>
          <t>9. Cochinilla harinosa</t>
        </is>
      </c>
      <c r="B31" s="65" t="inlineStr">
        <is>
          <t>mealybug; Pseudococcidae; Planococcus; Dysmicoccus</t>
        </is>
      </c>
    </row>
    <row r="32" ht="24" customHeight="1" s="34">
      <c r="A32" s="67" t="inlineStr">
        <is>
          <t>10. Queresa</t>
        </is>
      </c>
      <c r="B32" s="65" t="inlineStr">
        <is>
          <t>scale insect; armored scale; Coccoidea; Diaspididae; Coccidae</t>
        </is>
      </c>
    </row>
    <row r="33" ht="24" customHeight="1" s="34">
      <c r="A33" s="65" t="n"/>
      <c r="B33" s="65" t="n"/>
    </row>
    <row r="34" ht="24" customHeight="1" s="34">
      <c r="A34" s="67" t="inlineStr">
        <is>
          <t>7. Bases de datos consultadas</t>
        </is>
      </c>
      <c r="B34" s="65" t="inlineStr">
        <is>
          <t>Scopus · IEEE Xplore · Web of Science · Springer · Google Scholar como apoyo.</t>
        </is>
      </c>
    </row>
    <row r="35" ht="24" customHeight="1" s="34">
      <c r="A35" s="67" t="inlineStr">
        <is>
          <t>8. Filtros aplicados</t>
        </is>
      </c>
      <c r="B35" s="65" t="inlineStr">
        <is>
          <t>Años: 2021-2026. Idioma: español / inglés. Tipo: artículos, ponencias y revisiones metodológicas relevantes.</t>
        </is>
      </c>
    </row>
    <row r="36" ht="24" customHeight="1" s="34">
      <c r="A36" s="67" t="inlineStr">
        <is>
          <t>9. Criterios de calidad (Q1–Q10)</t>
        </is>
      </c>
      <c r="B36" s="65" t="inlineStr">
        <is>
          <t>Escala por criterio: 0 = no cumple · 1 = cumple parcialmente · 2 = cumple bien. Se puntúan en la hoja 'Calidad_articulos' (total y nivel se calculan solos).</t>
        </is>
      </c>
    </row>
    <row r="37" ht="24" customHeight="1" s="34">
      <c r="A37" s="67" t="inlineStr">
        <is>
          <t>Q1</t>
        </is>
      </c>
      <c r="B37" s="65" t="inlineStr">
        <is>
          <t>El objetivo o pregunta del estudio está claramente definido.</t>
        </is>
      </c>
    </row>
    <row r="38" ht="24" customHeight="1" s="34">
      <c r="A38" s="67" t="inlineStr">
        <is>
          <t>Q2</t>
        </is>
      </c>
      <c r="B38" s="65" t="inlineStr">
        <is>
          <t>Identifica enfermedad, plaga, patógeno o clase visual de forma clara.</t>
        </is>
      </c>
    </row>
    <row r="39" ht="24" customHeight="1" s="34">
      <c r="A39" s="67" t="inlineStr">
        <is>
          <t>Q3</t>
        </is>
      </c>
      <c r="B39" s="65" t="inlineStr">
        <is>
          <t>Describe síntomas foliares o características visuales útiles para diagnóstico.</t>
        </is>
      </c>
    </row>
    <row r="40" ht="24" customHeight="1" s="34">
      <c r="A40" s="67" t="inlineStr">
        <is>
          <t>Q4</t>
        </is>
      </c>
      <c r="B40" s="65" t="inlineStr">
        <is>
          <t>Se realiza sobre aguacate o presenta un método de detección foliar extrapolable al cultivo.</t>
        </is>
      </c>
    </row>
    <row r="41" ht="24" customHeight="1" s="34">
      <c r="A41" s="67" t="inlineStr">
        <is>
          <t>Q5</t>
        </is>
      </c>
      <c r="B41" s="65" t="inlineStr">
        <is>
          <t>La metodología de captura, diagnóstico, clasificación o evaluación está descrita y es replicable.</t>
        </is>
      </c>
    </row>
    <row r="42" ht="24" customHeight="1" s="34">
      <c r="A42" s="67" t="inlineStr">
        <is>
          <t>Q6</t>
        </is>
      </c>
      <c r="B42" s="65" t="inlineStr">
        <is>
          <t>Aporta evidencia que respalda las conclusiones: imágenes, métricas, laboratorio, campo, índices o resultados del modelo.</t>
        </is>
      </c>
    </row>
    <row r="43" ht="24" customHeight="1" s="34">
      <c r="A43" s="67" t="inlineStr">
        <is>
          <t>Q7</t>
        </is>
      </c>
      <c r="B43" s="65" t="inlineStr">
        <is>
          <t>Menciona métodos de detección o diagnóstico útiles para IA, app móvil, UAV o visión por computador.</t>
        </is>
      </c>
    </row>
    <row r="44" ht="24" customHeight="1" s="34">
      <c r="A44" s="67" t="inlineStr">
        <is>
          <t>Q8</t>
        </is>
      </c>
      <c r="B44" s="65" t="inlineStr">
        <is>
          <t>Indica el contexto geográfico/región (mundial o Latinoamérica) y las condiciones.</t>
        </is>
      </c>
    </row>
    <row r="45" ht="24" customHeight="1" s="34">
      <c r="A45" s="67" t="inlineStr">
        <is>
          <t>Q9</t>
        </is>
      </c>
      <c r="B45" s="65" t="inlineStr">
        <is>
          <t>Resultados y conclusiones claros y coherentes con los datos presentados.</t>
        </is>
      </c>
    </row>
    <row r="46" ht="24" customHeight="1" s="34">
      <c r="A46" s="67" t="inlineStr">
        <is>
          <t>Q10</t>
        </is>
      </c>
      <c r="B46" s="65" t="inlineStr">
        <is>
          <t>Fuente confiable y actual (revista revisada por pares, citable, año dentro del rango).</t>
        </is>
      </c>
    </row>
    <row r="47" ht="24" customHeight="1" s="34">
      <c r="A47" s="67" t="inlineStr">
        <is>
          <t>Puntaje / Nivel</t>
        </is>
      </c>
      <c r="B47" s="65" t="inlineStr">
        <is>
          <t>Total 0–20 →  Alta: 16–20  ·  Media: 11–15  ·  Baja: ≤ 10  (cálculo automático).</t>
        </is>
      </c>
    </row>
    <row r="48" ht="24" customHeight="1" s="34">
      <c r="A48" s="67" t="inlineStr">
        <is>
          <t>Validar</t>
        </is>
      </c>
      <c r="B48" s="65" t="n"/>
    </row>
    <row r="49" ht="24" customHeight="1" s="34">
      <c r="A49" s="65" t="n"/>
      <c r="B49" s="65" t="n"/>
    </row>
    <row r="50" ht="24" customHeight="1" s="34">
      <c r="A50" s="67" t="inlineStr">
        <is>
          <t>10. Datos a extraer de cada artículo</t>
        </is>
      </c>
      <c r="B50" s="65" t="inlineStr">
        <is>
          <t>ID · Base · Autores · Año · DOI · Grupo/enfermedad · Síntoma foliar · Técnica IA/sensor · Tipo de documento · Fuente · Ruta local · aporte principal.</t>
        </is>
      </c>
    </row>
    <row r="51" ht="24" customHeight="1" s="34">
      <c r="A51" s="65" t="n"/>
      <c r="B51" s="65" t="n"/>
    </row>
    <row r="52" ht="24" customHeight="1" s="34">
      <c r="A52" s="65" t="n"/>
      <c r="B52" s="65" t="n"/>
    </row>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mergeCells count="3">
    <mergeCell ref="A48:B4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showGridLines="0" topLeftCell="A1" workbookViewId="0">
      <selection activeCell="A1" sqref="A1"/>
    </sheetView>
  </sheetViews>
  <sheetFormatPr baseColWidth="10" defaultColWidth="8.88671875" defaultRowHeight="14.4"/>
  <cols>
    <col width="8" customWidth="1" style="34" min="1" max="1"/>
    <col width="20" customWidth="1" style="34" min="2" max="2"/>
    <col width="18" customWidth="1" style="34" min="3" max="3"/>
    <col width="60" customWidth="1" style="34" min="4" max="4"/>
    <col width="24" customWidth="1" style="34" min="5" max="6"/>
    <col width="18" customWidth="1" style="34" min="6" max="6"/>
    <col width="16" customWidth="1" style="34" min="7" max="7"/>
    <col width="14" customWidth="1" style="34" min="8" max="8"/>
    <col width="40" customWidth="1" style="34" min="9" max="9"/>
  </cols>
  <sheetData>
    <row r="1" ht="24" customHeight="1" s="34">
      <c r="A1" s="71" t="inlineStr">
        <is>
          <t>CADENAS DE BÚSQUEDA (registro para reproducibilidad)</t>
        </is>
      </c>
    </row>
    <row r="2" ht="24" customHeight="1" s="34">
      <c r="A2" s="72" t="inlineStr">
        <is>
          <t>Escribe la cadena EXACTA usada en cada base, con su fecha y nº de resultados. Repite cada cadena en las 4 bases y registra los resultados de cada una. Esto hace tu revisión REPRODUCIBLE.</t>
        </is>
      </c>
    </row>
    <row r="3" ht="24" customHeight="1" s="34"/>
    <row r="4" ht="24" customHeight="1" s="34">
      <c r="A4" s="73" t="inlineStr">
        <is>
          <t>N.º</t>
        </is>
      </c>
      <c r="B4" s="73" t="inlineStr">
        <is>
          <t>Grupo</t>
        </is>
      </c>
      <c r="C4" s="73" t="inlineStr">
        <is>
          <t>Base de datos</t>
        </is>
      </c>
      <c r="D4" s="73" t="inlineStr">
        <is>
          <t>Cadena de búsqueda exacta</t>
        </is>
      </c>
      <c r="E4" s="73" t="inlineStr">
        <is>
          <t>Campos</t>
        </is>
      </c>
      <c r="F4" s="73" t="inlineStr">
        <is>
          <t>Filtros (años/idioma)</t>
        </is>
      </c>
      <c r="G4" s="73" t="inlineStr">
        <is>
          <t>Fecha de búsqueda</t>
        </is>
      </c>
      <c r="H4" s="73" t="inlineStr">
        <is>
          <t>N.º resultados</t>
        </is>
      </c>
      <c r="I4" s="73" t="inlineStr">
        <is>
          <t>Notas</t>
        </is>
      </c>
    </row>
    <row r="5" ht="32" customHeight="1" s="34">
      <c r="A5" s="74" t="n">
        <v>1</v>
      </c>
      <c r="B5" s="74" t="inlineStr">
        <is>
          <t>TODOS</t>
        </is>
      </c>
      <c r="C5" s="74" t="inlineStr">
        <is>
          <t>Scopus</t>
        </is>
      </c>
      <c r="D5" s="74" t="inlineStr">
        <is>
          <t>TITLE-ABS-KEY(("avocado" OR "Persea americana") AND ("leaf" OR "leaves" OR "foliar") AND ("disease" OR "pathogen" OR "pest" OR "symptom"))</t>
        </is>
      </c>
      <c r="E5" s="74" t="inlineStr">
        <is>
          <t>Título-Resumen-Keywords</t>
        </is>
      </c>
      <c r="F5" s="74" t="inlineStr">
        <is>
          <t>2021-2026; es/en</t>
        </is>
      </c>
      <c r="G5" s="74" t="inlineStr">
        <is>
          <t>2026-09-21</t>
        </is>
      </c>
      <c r="H5" s="74" t="n"/>
      <c r="I5" s="74" t="inlineStr">
        <is>
          <t>Búsqueda amplia para enfermedades y plagas foliares.</t>
        </is>
      </c>
    </row>
    <row r="6" ht="32" customHeight="1" s="34">
      <c r="A6" s="75" t="n">
        <v>2</v>
      </c>
      <c r="B6" s="75" t="inlineStr">
        <is>
          <t>Antracnosis</t>
        </is>
      </c>
      <c r="C6" s="75" t="inlineStr">
        <is>
          <t>Scopus</t>
        </is>
      </c>
      <c r="D6" s="75" t="inlineStr">
        <is>
          <t>TITLE-ABS-KEY(("avocado" OR "Persea americana") AND ("leaf" OR "leaves" OR "foliar") AND ("anthracnose" OR "Colletotrichum"))</t>
        </is>
      </c>
      <c r="E6" s="75" t="inlineStr">
        <is>
          <t>Título-Resumen-Keywords</t>
        </is>
      </c>
      <c r="F6" s="75" t="inlineStr">
        <is>
          <t>2021-2026; es/en</t>
        </is>
      </c>
      <c r="G6" s="75" t="inlineStr">
        <is>
          <t>2026-09-21</t>
        </is>
      </c>
      <c r="H6" s="75" t="n"/>
      <c r="I6" s="75" t="inlineStr">
        <is>
          <t>Lesiones foliares y detección visual.</t>
        </is>
      </c>
    </row>
    <row r="7" ht="32" customHeight="1" s="34">
      <c r="A7" s="74" t="n">
        <v>3</v>
      </c>
      <c r="B7" s="74" t="inlineStr">
        <is>
          <t>Cercospora</t>
        </is>
      </c>
      <c r="C7" s="74" t="inlineStr">
        <is>
          <t>Scopus</t>
        </is>
      </c>
      <c r="D7" s="74" t="inlineStr">
        <is>
          <t>TITLE-ABS-KEY(("avocado" OR "Persea americana") AND ("Pseudocercospora purpurea" OR "Cercospora purpurea" OR "black spot") AND ("leaf" OR "foliar"))</t>
        </is>
      </c>
      <c r="E7" s="74" t="inlineStr">
        <is>
          <t>Título-Resumen-Keywords</t>
        </is>
      </c>
      <c r="F7" s="74" t="inlineStr">
        <is>
          <t>2021-2026; es/en</t>
        </is>
      </c>
      <c r="G7" s="74" t="inlineStr">
        <is>
          <t>2026-09-21</t>
        </is>
      </c>
      <c r="H7" s="74" t="n"/>
      <c r="I7" s="74" t="inlineStr">
        <is>
          <t>Mancha negra y síntomas visuales.</t>
        </is>
      </c>
    </row>
    <row r="8" ht="32" customHeight="1" s="34">
      <c r="A8" s="75" t="n">
        <v>4</v>
      </c>
      <c r="B8" s="75" t="inlineStr">
        <is>
          <t>Araña roja</t>
        </is>
      </c>
      <c r="C8" s="75" t="inlineStr">
        <is>
          <t>Scopus</t>
        </is>
      </c>
      <c r="D8" s="75" t="inlineStr">
        <is>
          <t>TITLE-ABS-KEY(("avocado" OR "Persea americana") AND ("Oligonychus perseae" OR "Oligonychus punicae" OR "spider mite") AND ("leaf" OR "foliar"))</t>
        </is>
      </c>
      <c r="E8" s="75" t="inlineStr">
        <is>
          <t>Título-Resumen-Keywords</t>
        </is>
      </c>
      <c r="F8" s="75" t="inlineStr">
        <is>
          <t>2021-2026; es/en</t>
        </is>
      </c>
      <c r="G8" s="75" t="inlineStr">
        <is>
          <t>2026-09-21</t>
        </is>
      </c>
      <c r="H8" s="75" t="n"/>
      <c r="I8" s="75" t="inlineStr">
        <is>
          <t>Plagas foliares.</t>
        </is>
      </c>
    </row>
    <row r="9" ht="32" customHeight="1" s="34">
      <c r="A9" s="74" t="n">
        <v>5</v>
      </c>
      <c r="B9" s="74" t="inlineStr">
        <is>
          <t>Agallas foliares</t>
        </is>
      </c>
      <c r="C9" s="74" t="inlineStr">
        <is>
          <t>Scopus</t>
        </is>
      </c>
      <c r="D9" s="74" t="inlineStr">
        <is>
          <t>TITLE-ABS-KEY(("avocado" OR "Persea americana") AND ("leaf gall" OR "Trioza anceps" OR "Trioza perseae"))</t>
        </is>
      </c>
      <c r="E9" s="74" t="inlineStr">
        <is>
          <t>Título-Resumen-Keywords</t>
        </is>
      </c>
      <c r="F9" s="74" t="inlineStr">
        <is>
          <t>2021-2026; es/en</t>
        </is>
      </c>
      <c r="G9" s="74" t="inlineStr">
        <is>
          <t>2026-09-21</t>
        </is>
      </c>
      <c r="H9" s="74" t="n"/>
      <c r="I9" s="74" t="inlineStr">
        <is>
          <t>Agallas visibles en hojas.</t>
        </is>
      </c>
    </row>
    <row r="10" ht="32" customHeight="1" s="34">
      <c r="A10" s="75" t="n">
        <v>6</v>
      </c>
      <c r="B10" s="75" t="inlineStr">
        <is>
          <t>Tizón foliar</t>
        </is>
      </c>
      <c r="C10" s="75" t="inlineStr">
        <is>
          <t>Scopus</t>
        </is>
      </c>
      <c r="D10" s="75" t="inlineStr">
        <is>
          <t>TITLE-ABS-KEY(("avocado" OR "Persea americana") AND ("leaf blight" OR "foliar blight" OR "necrotic leaf lesion"))</t>
        </is>
      </c>
      <c r="E10" s="75" t="inlineStr">
        <is>
          <t>Título-Resumen-Keywords</t>
        </is>
      </c>
      <c r="F10" s="75" t="inlineStr">
        <is>
          <t>2021-2026; es/en</t>
        </is>
      </c>
      <c r="G10" s="75" t="inlineStr">
        <is>
          <t>2026-09-21</t>
        </is>
      </c>
      <c r="H10" s="75" t="n"/>
      <c r="I10" s="75" t="inlineStr">
        <is>
          <t>Tizón y lesiones necróticas.</t>
        </is>
      </c>
    </row>
    <row r="11" ht="32" customHeight="1" s="34">
      <c r="A11" s="74" t="n">
        <v>7</v>
      </c>
      <c r="B11" s="74" t="inlineStr">
        <is>
          <t>Roña</t>
        </is>
      </c>
      <c r="C11" s="74" t="inlineStr">
        <is>
          <t>Scopus</t>
        </is>
      </c>
      <c r="D11" s="74" t="inlineStr">
        <is>
          <t>TITLE-ABS-KEY(("avocado" OR "Persea americana") AND ("scab" OR "Elsinoe perseae" OR "Sphaceloma perseae"))</t>
        </is>
      </c>
      <c r="E11" s="74" t="inlineStr">
        <is>
          <t>Título-Resumen-Keywords</t>
        </is>
      </c>
      <c r="F11" s="74" t="inlineStr">
        <is>
          <t>2021-2026; es/en</t>
        </is>
      </c>
      <c r="G11" s="74" t="inlineStr">
        <is>
          <t>2026-09-21</t>
        </is>
      </c>
      <c r="H11" s="74" t="n"/>
      <c r="I11" s="74" t="inlineStr">
        <is>
          <t>Diagnóstico diferencial.</t>
        </is>
      </c>
    </row>
    <row r="12" ht="32" customHeight="1" s="34">
      <c r="A12" s="75" t="n">
        <v>8</v>
      </c>
      <c r="B12" s="75" t="inlineStr">
        <is>
          <t>Visión artificial</t>
        </is>
      </c>
      <c r="C12" s="75" t="inlineStr">
        <is>
          <t>IEEE Xplore</t>
        </is>
      </c>
      <c r="D12" s="75" t="inlineStr">
        <is>
          <t>("avocado" AND "leaf disease") OR ("plant leaf disease" AND ("computer vision" OR "deep learning" OR YOLO))</t>
        </is>
      </c>
      <c r="E12" s="75" t="inlineStr">
        <is>
          <t>Metadata IEEE</t>
        </is>
      </c>
      <c r="F12" s="75" t="inlineStr">
        <is>
          <t>2021-2026; es/en</t>
        </is>
      </c>
      <c r="G12" s="75" t="inlineStr">
        <is>
          <t>2026-09-21</t>
        </is>
      </c>
      <c r="H12" s="75" t="n"/>
      <c r="I12" s="75" t="inlineStr">
        <is>
          <t>IA, visión por computador y YOLO.</t>
        </is>
      </c>
    </row>
    <row r="13" ht="24" customHeight="1" s="34"/>
    <row r="14" ht="24" customHeight="1" s="34"/>
    <row r="15" s="34"/>
    <row r="16" s="34"/>
    <row r="17" s="34"/>
    <row r="18" s="34"/>
    <row r="19" s="34"/>
    <row r="20" s="34"/>
    <row r="21" s="34"/>
    <row r="22" s="34"/>
    <row r="23" s="34"/>
    <row r="24" s="34"/>
    <row r="25" s="34"/>
    <row r="26" s="34"/>
    <row r="27" s="34"/>
    <row r="28" s="34"/>
    <row r="29" s="34"/>
    <row r="30" s="34"/>
    <row r="31" s="34"/>
    <row r="32" s="34"/>
    <row r="33" s="34"/>
    <row r="34" s="34"/>
    <row r="35" s="34"/>
    <row r="36" s="34"/>
    <row r="37" s="34"/>
    <row r="38" s="34"/>
    <row r="39" s="34"/>
    <row r="40" s="34"/>
    <row r="41" s="34"/>
    <row r="42" s="34"/>
    <row r="43" s="34"/>
    <row r="44" s="34"/>
    <row r="45" s="34"/>
    <row r="46" s="34"/>
    <row r="47" s="34"/>
    <row r="48" s="34"/>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autoFilter ref="A4:I12"/>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showGridLines="0" topLeftCell="A1" zoomScale="95" zoomScaleNormal="95" workbookViewId="0">
      <selection activeCell="A1" sqref="A1"/>
    </sheetView>
  </sheetViews>
  <sheetFormatPr baseColWidth="10" defaultColWidth="8.88671875" defaultRowHeight="14.4"/>
  <cols>
    <col width="10" customWidth="1" style="34" min="1" max="1"/>
    <col width="18" customWidth="1" style="34" min="2" max="2"/>
    <col width="54" customWidth="1" style="34" min="3" max="3"/>
    <col width="34" customWidth="1" style="34" min="4" max="4"/>
    <col width="10" customWidth="1" style="34" min="5" max="5"/>
    <col width="24" customWidth="1" style="34" min="6" max="6"/>
    <col width="36" customWidth="1" style="34" min="7" max="7"/>
    <col width="62" customWidth="1" style="34" min="8" max="8"/>
    <col width="20" customWidth="1" style="34" min="9" max="9"/>
    <col width="26" customWidth="1" style="34" min="10" max="10"/>
    <col width="24" customWidth="1" style="34" min="11" max="11"/>
    <col width="58" customWidth="1" style="34" min="12" max="12"/>
  </cols>
  <sheetData>
    <row r="1" ht="24" customHeight="1" s="34">
      <c r="A1" s="71" t="inlineStr">
        <is>
          <t>Base_consolidada</t>
        </is>
      </c>
    </row>
    <row r="2" ht="24" customHeight="1" s="34">
      <c r="A2" s="72" t="inlineStr">
        <is>
          <t>Base consolidada V1.6 con toda la bibliografía local disponible. Registros brutos: 96. Registros únicos: 48. Filtro temporal del protocolo: 2021-2026.</t>
        </is>
      </c>
    </row>
    <row r="3" ht="24" customHeight="1" s="34">
      <c r="A3" s="73" t="inlineStr">
        <is>
          <t>ID</t>
        </is>
      </c>
      <c r="B3" s="73" t="inlineStr">
        <is>
          <t>Base de datos</t>
        </is>
      </c>
      <c r="C3" s="73" t="inlineStr">
        <is>
          <t>Título completo</t>
        </is>
      </c>
      <c r="D3" s="73" t="inlineStr">
        <is>
          <t>Autores</t>
        </is>
      </c>
      <c r="E3" s="73" t="inlineStr">
        <is>
          <t>Año</t>
        </is>
      </c>
      <c r="F3" s="73" t="inlineStr">
        <is>
          <t>DOI</t>
        </is>
      </c>
      <c r="G3" s="73" t="inlineStr">
        <is>
          <t>Keywords</t>
        </is>
      </c>
      <c r="H3" s="73" t="inlineStr">
        <is>
          <t>Abstract</t>
        </is>
      </c>
      <c r="I3" s="73" t="inlineStr">
        <is>
          <t>Tipo de documento</t>
        </is>
      </c>
      <c r="J3" s="73" t="inlineStr">
        <is>
          <t>Fuente / Revista</t>
        </is>
      </c>
      <c r="K3" s="73" t="inlineStr">
        <is>
          <t>Estado inicial</t>
        </is>
      </c>
      <c r="L3" s="73" t="inlineStr">
        <is>
          <t>Registro fuente</t>
        </is>
      </c>
    </row>
    <row r="4" ht="32" customHeight="1" s="34">
      <c r="A4" s="74" t="inlineStr">
        <is>
          <t>B0001</t>
        </is>
      </c>
      <c r="B4" s="74" t="inlineStr">
        <is>
          <t>Web / DOI</t>
        </is>
      </c>
      <c r="C4" s="74" t="inlineStr">
        <is>
          <t>07 Agallas Trioza anceps Torres Gurrola 2011 UNAM</t>
        </is>
      </c>
      <c r="D4" s="74" t="inlineStr"/>
      <c r="E4" s="74" t="n"/>
      <c r="F4" s="74" t="inlineStr"/>
      <c r="G4" s="74" t="inlineStr">
        <is>
          <t>Agallas foliares</t>
        </is>
      </c>
      <c r="H4" s="74" t="inlineStr">
        <is>
          <t>https://tesiunamdocumentos.dgb.unam.mx/ptb2011/septiembre/0672711/0672711_A1.pdf</t>
        </is>
      </c>
      <c r="I4" s="74" t="inlineStr">
        <is>
          <t>Enlace / recurso web</t>
        </is>
      </c>
      <c r="J4" s="74" t="inlineStr">
        <is>
          <t>tesiunamdocumentos.dgb.unam.mx</t>
        </is>
      </c>
      <c r="K4" s="74" t="inlineStr">
        <is>
          <t>Enlace local</t>
        </is>
      </c>
      <c r="L4" s="74" t="inlineStr">
        <is>
          <t>C:\Users\plusm\Desktop\Tesis\Bibliografia\_Bibliografia adicional 2026\07_Agallas_Trioza_anceps_Torres_Gurrola_2011_UNAM.url</t>
        </is>
      </c>
    </row>
    <row r="5" ht="32" customHeight="1" s="34">
      <c r="A5" s="75" t="inlineStr">
        <is>
          <t>B0002</t>
        </is>
      </c>
      <c r="B5" s="75" t="inlineStr">
        <is>
          <t>Web / DOI</t>
        </is>
      </c>
      <c r="C5" s="75" t="inlineStr">
        <is>
          <t>08 Agallas Trioza anceps Rincon Hernandez 2008</t>
        </is>
      </c>
      <c r="D5" s="75" t="inlineStr"/>
      <c r="E5" s="75" t="n"/>
      <c r="F5" s="75" t="inlineStr"/>
      <c r="G5" s="75" t="inlineStr">
        <is>
          <t>Agallas foliares</t>
        </is>
      </c>
      <c r="H5" s="75" t="inlineStr">
        <is>
          <t>https://indianjournals.com/article/aj-21-1-015</t>
        </is>
      </c>
      <c r="I5" s="75" t="inlineStr">
        <is>
          <t>Enlace / recurso web</t>
        </is>
      </c>
      <c r="J5" s="75" t="inlineStr">
        <is>
          <t>indianjournals.com</t>
        </is>
      </c>
      <c r="K5" s="75" t="inlineStr">
        <is>
          <t>Enlace local</t>
        </is>
      </c>
      <c r="L5" s="75" t="inlineStr">
        <is>
          <t>C:\Users\plusm\Desktop\Tesis\Bibliografia\_Bibliografia adicional 2026\08_Agallas_Trioza_anceps_Rincon_Hernandez_2008.url</t>
        </is>
      </c>
    </row>
    <row r="6" ht="32" customHeight="1" s="34">
      <c r="A6" s="74" t="inlineStr">
        <is>
          <t>B0003</t>
        </is>
      </c>
      <c r="B6" s="74" t="inlineStr">
        <is>
          <t>BibTeX</t>
        </is>
      </c>
      <c r="C6" s="74" t="inlineStr">
        <is>
          <t>Relationship between the phytochemical diversity in creole avocado (Persea americana var. drymifolia) leaves and the incidence of foliar gall psyllid (Trioza anceps)</t>
        </is>
      </c>
      <c r="D6" s="74" t="inlineStr">
        <is>
          <t>Rincón-Hernández, Cintia A. and Espinosa-García, Francisco J.</t>
        </is>
      </c>
      <c r="E6" s="74" t="n">
        <v>2008</v>
      </c>
      <c r="F6" s="74" t="inlineStr"/>
      <c r="G6" s="74" t="inlineStr">
        <is>
          <t>Agallas foliares</t>
        </is>
      </c>
      <c r="H6" s="74" t="inlineStr"/>
      <c r="I6" s="74" t="inlineStr">
        <is>
          <t>Artículo referenciado</t>
        </is>
      </c>
      <c r="J6" s="74" t="inlineStr">
        <is>
          <t>Allelopathy Journal</t>
        </is>
      </c>
      <c r="K6" s="74" t="inlineStr">
        <is>
          <t>Entrada BibTeX</t>
        </is>
      </c>
      <c r="L6" s="74" t="inlineStr">
        <is>
          <t>C:\Users\plusm\Desktop\Tesis\Bibliografia\_Bibliografia adicional 2026\bibliografia_adicional.bib</t>
        </is>
      </c>
    </row>
    <row r="7" ht="32" customHeight="1" s="34">
      <c r="A7" s="75" t="inlineStr">
        <is>
          <t>B0004</t>
        </is>
      </c>
      <c r="B7" s="75" t="inlineStr">
        <is>
          <t>BibTeX</t>
        </is>
      </c>
      <c r="C7" s="75" t="inlineStr">
        <is>
          <t>The foliar chemical profile of criollo avocado, Persea americana var. drymifolia (Lauraceae), and its relationship with the incidence of a gall-forming insect, Trioza anceps (Triozidae)</t>
        </is>
      </c>
      <c r="D7" s="75" t="inlineStr">
        <is>
          <t>Torres-Gurrola, Guadalupe and Delgado-Lamas, Guillermo and Espinosa-García, Francisco J.</t>
        </is>
      </c>
      <c r="E7" s="75" t="n">
        <v>2011</v>
      </c>
      <c r="F7" s="75" t="inlineStr">
        <is>
          <t>10.1016/j.bse.2011.01.011</t>
        </is>
      </c>
      <c r="G7" s="75" t="inlineStr">
        <is>
          <t>Agallas foliares</t>
        </is>
      </c>
      <c r="H7" s="75" t="inlineStr"/>
      <c r="I7" s="75" t="inlineStr">
        <is>
          <t>Artículo referenciado</t>
        </is>
      </c>
      <c r="J7" s="75" t="inlineStr">
        <is>
          <t>Biochemical Systematics and Ecology</t>
        </is>
      </c>
      <c r="K7" s="75" t="inlineStr">
        <is>
          <t>Entrada BibTeX</t>
        </is>
      </c>
      <c r="L7" s="75" t="inlineStr">
        <is>
          <t>C:\Users\plusm\Desktop\Tesis\Bibliografia\_Bibliografia adicional 2026\bibliografia_adicional.bib</t>
        </is>
      </c>
    </row>
    <row r="8" ht="32" customHeight="1" s="34">
      <c r="A8" s="74" t="inlineStr">
        <is>
          <t>B0005</t>
        </is>
      </c>
      <c r="B8" s="74" t="inlineStr">
        <is>
          <t>PDF local</t>
        </is>
      </c>
      <c r="C8" s="74" t="inlineStr">
        <is>
          <t>Silica-based nanomaterials for the control of Trioza anceps: Laboratory bioassays and preliminary field observations</t>
        </is>
      </c>
      <c r="D8" s="74" t="inlineStr"/>
      <c r="E8" s="74" t="n">
        <v>2026</v>
      </c>
      <c r="F8" s="74" t="inlineStr">
        <is>
          <t>10.1007/s10971-026-07179-z</t>
        </is>
      </c>
      <c r="G8" s="74" t="inlineStr">
        <is>
          <t>Agallas foliares</t>
        </is>
      </c>
      <c r="H8" s="74" t="inlineStr">
        <is>
          <t>Journal of Sol-Gel Science and Technology (2026) 118:59 https://doi.org/10.1007/s10971-026-07179-z ORIGINAL PAPER Silica-based nanomaterials for the control of Trioza anceps: Laboratory bioassays and preliminary ﬁeld observations G. Cinto-Alarcon 1 ● J. A. Moreno-Rodríguez 2 ● A. Aragón-García 1 ● L. A. Moreno-Rodríguez 3 ● E. A. Valdez-Torija 3 ● E. Rubio-Rosas 4 Received: 5 January 2026 / Accepted: 16 April 2026 / Published online: 26 May 2026 © The Author(s) 2026 Abstract It is known that four Trioza species attack avocado foliage, with Trioza anceps Tuthill (commonly called the avocado psyllid) being a widespread pest in Mexico and Central America. Both nymphs and adults feed on young leaf sap, but the nymphs induce avocado leaf galls by injecting a toxin during feeding, triggering tissue hyperplasia and hypertrophy. This leads to severe leaf deformations, stunted tree growth, and overall decline in plant health [ 1]. The aim of the present research was to evaluate the ef ﬁcacy of nanomaterials synthesized via the sol-gel method for the control of T. anceps. The treatments included silicon oxide, silicon oxide with pine bark extract, silicon oxide with pine resin, and silicon oxide with both pine bark extract and pine resin. The nanomaterials were characterized prior to laboratory testing. Among them, the SiO 2-pine resin formulation proved to be the most effective, achieving 100% mortality of T. anceps nymphs by day 7 and belonging to the highest statistical ef ﬁcacy...</t>
        </is>
      </c>
      <c r="I8" s="74" t="inlineStr">
        <is>
          <t>Artículo PDF</t>
        </is>
      </c>
      <c r="J8" s="74" t="inlineStr">
        <is>
          <t>Journal of Sol-Gel Science and Technology, doi:10.1007/s10971-026-07179-z</t>
        </is>
      </c>
      <c r="K8" s="74" t="inlineStr">
        <is>
          <t>PDF descargado / leído</t>
        </is>
      </c>
      <c r="L8" s="74" t="inlineStr">
        <is>
          <t>C:\Users\plusm\Desktop\Tesis\Bibliografia\Agallas foliares\s10971-026-07179-z.pdf</t>
        </is>
      </c>
    </row>
    <row r="9" ht="32" customHeight="1" s="34">
      <c r="A9" s="75" t="inlineStr">
        <is>
          <t>B0006</t>
        </is>
      </c>
      <c r="B9" s="75" t="inlineStr">
        <is>
          <t>IEEE Xplore</t>
        </is>
      </c>
      <c r="C9" s="75" t="inlineStr">
        <is>
          <t>Unified Approach for Avocado Leaf Disease Classification CNN-SVM Fusion</t>
        </is>
      </c>
      <c r="D9" s="75" t="inlineStr"/>
      <c r="E9" s="75" t="n"/>
      <c r="F9" s="75" t="inlineStr"/>
      <c r="G9" s="75" t="inlineStr">
        <is>
          <t>Antracnosis</t>
        </is>
      </c>
      <c r="H9" s="75" t="inlineStr">
        <is>
          <t>https://ieeexplore.ieee.org/document/10544074</t>
        </is>
      </c>
      <c r="I9" s="75" t="inlineStr">
        <is>
          <t>Enlace / recurso web</t>
        </is>
      </c>
      <c r="J9" s="75" t="inlineStr">
        <is>
          <t>ieeexplore.ieee.org</t>
        </is>
      </c>
      <c r="K9" s="75" t="inlineStr">
        <is>
          <t>Enlace local</t>
        </is>
      </c>
      <c r="L9" s="75" t="inlineStr">
        <is>
          <t>C:\Users\plusm\Desktop\Tesis\Bibliografia\Antracnosis\IEEE Xplore\Unified Approach for Avocado Leaf Disease Classification_ CNN-SVM Fusion.url</t>
        </is>
      </c>
    </row>
    <row r="10" ht="32" customHeight="1" s="34">
      <c r="A10" s="74" t="inlineStr">
        <is>
          <t>B0007</t>
        </is>
      </c>
      <c r="B10" s="74" t="inlineStr">
        <is>
          <t>Web / DOI</t>
        </is>
      </c>
      <c r="C10" s="74" t="inlineStr">
        <is>
          <t>01 Antracnosis Uysal Kurt 2020</t>
        </is>
      </c>
      <c r="D10" s="74" t="inlineStr"/>
      <c r="E10" s="74" t="n">
        <v>2020</v>
      </c>
      <c r="F10" s="74" t="inlineStr">
        <is>
          <t>10.1016/j.cropro.2020.105145</t>
        </is>
      </c>
      <c r="G10" s="74" t="inlineStr">
        <is>
          <t>Antracnosis</t>
        </is>
      </c>
      <c r="H10" s="74" t="inlineStr">
        <is>
          <t>https://doi.org/10.1016/j.cropro.2020.105145</t>
        </is>
      </c>
      <c r="I10" s="74" t="inlineStr">
        <is>
          <t>Enlace / recurso web</t>
        </is>
      </c>
      <c r="J10" s="74" t="inlineStr">
        <is>
          <t>doi.org</t>
        </is>
      </c>
      <c r="K10" s="74" t="inlineStr">
        <is>
          <t>Enlace local</t>
        </is>
      </c>
      <c r="L10" s="74" t="inlineStr">
        <is>
          <t>C:\Users\plusm\Desktop\Tesis\Bibliografia\_Bibliografia adicional 2026\01_Antracnosis_Uysal_Kurt_2020.url</t>
        </is>
      </c>
    </row>
    <row r="11" ht="32" customHeight="1" s="34">
      <c r="A11" s="75" t="inlineStr">
        <is>
          <t>B0008</t>
        </is>
      </c>
      <c r="B11" s="75" t="inlineStr">
        <is>
          <t>Scopus</t>
        </is>
      </c>
      <c r="C11" s="75" t="inlineStr">
        <is>
          <t>Identification of pathogen species of avocado leaf anthracnose in Chongzuo, Guangxi; [广西崇左油梨叶部炭疽病病原菌分离与鉴定]</t>
        </is>
      </c>
      <c r="D11" s="75" t="inlineStr">
        <is>
          <t>Fan Z.; Lu Y.; Wang W.; Lin C.</t>
        </is>
      </c>
      <c r="E11" s="75" t="n">
        <v>2023</v>
      </c>
      <c r="F11" s="75" t="inlineStr">
        <is>
          <t>10.13926/j.cnki.apps.000812</t>
        </is>
      </c>
      <c r="G11" s="75" t="inlineStr">
        <is>
          <t>Antracnosis</t>
        </is>
      </c>
      <c r="H11" s="75" t="inlineStr"/>
      <c r="I11" s="75" t="inlineStr">
        <is>
          <t>Article</t>
        </is>
      </c>
      <c r="J11" s="75" t="inlineStr">
        <is>
          <t>Acta Phytopathologica Sinica</t>
        </is>
      </c>
      <c r="K11" s="75" t="inlineStr">
        <is>
          <t>Exportado de Scopus</t>
        </is>
      </c>
      <c r="L11" s="75" t="inlineStr">
        <is>
          <t>C:\Users\plusm\Desktop\Tesis\Bibliografia\Antracnosis\scopus_export_Sep 9-2026_f215638f-fffb-429f-adc7-ae9f84755503.csv</t>
        </is>
      </c>
    </row>
    <row r="12" ht="32" customHeight="1" s="34">
      <c r="A12" s="74" t="inlineStr">
        <is>
          <t>B0009</t>
        </is>
      </c>
      <c r="B12" s="74" t="inlineStr">
        <is>
          <t>IEEE Xplore</t>
        </is>
      </c>
      <c r="C12" s="74" t="inlineStr">
        <is>
          <t>Unified Approach for Avocado Leaf Disease Classification: CNN-SVM Fusion</t>
        </is>
      </c>
      <c r="D12" s="74" t="inlineStr">
        <is>
          <t>Mir, Banerjee, Chauhan, Pokhariya y Kumar, 2024</t>
        </is>
      </c>
      <c r="E12" s="74" t="n">
        <v>2024</v>
      </c>
      <c r="F12" s="74" t="inlineStr">
        <is>
          <t>10.1109/I2CT61223.2024.10544074</t>
        </is>
      </c>
      <c r="G12" s="74" t="inlineStr">
        <is>
          <t>Antracnosis</t>
        </is>
      </c>
      <c r="H12" s="74" t="inlineStr">
        <is>
          <t>Articulo IEEE especifico de enfermedades de hojas de aguacate. Clasifica Healthy, Anthracnose, Avocado Root Rot, Avocado Sunblotch y Bacterial Canker con fusion CNN-SVM.</t>
        </is>
      </c>
      <c r="I12" s="74" t="inlineStr">
        <is>
          <t>Ficha bibliográfica</t>
        </is>
      </c>
      <c r="J12" s="74" t="inlineStr">
        <is>
          <t>2024 IEEE 9th International Conference for Convergence in Technology (I2CT)</t>
        </is>
      </c>
      <c r="K12" s="74" t="inlineStr">
        <is>
          <t>Ficha local</t>
        </is>
      </c>
      <c r="L12" s="74" t="inlineStr">
        <is>
          <t>C:\Users\plusm\Desktop\Tesis\Bibliografia\Vision artificial y UAV\IEEE Xplore\Unified Approach for Avocado Leaf Disease Classification_ CNN-SVM Fusion.md</t>
        </is>
      </c>
    </row>
    <row r="13" ht="32" customHeight="1" s="34">
      <c r="A13" s="75" t="inlineStr">
        <is>
          <t>B0010</t>
        </is>
      </c>
      <c r="B13" s="75" t="inlineStr">
        <is>
          <t>Scopus</t>
        </is>
      </c>
      <c r="C13" s="75" t="inlineStr">
        <is>
          <t>Real-Time Avocado Plant Health and Disease Detection Using UAV Imagery with Faster R-CNN Algorithm</t>
        </is>
      </c>
      <c r="D13" s="75" t="inlineStr">
        <is>
          <t>Karthik R.P.; Rithika K.V.; Ramana M.; Rakshith S.</t>
        </is>
      </c>
      <c r="E13" s="75" t="n">
        <v>2025</v>
      </c>
      <c r="F13" s="75" t="inlineStr">
        <is>
          <t>10.1109/ICOECA66273.2025.00181</t>
        </is>
      </c>
      <c r="G13" s="75" t="inlineStr">
        <is>
          <t>Antracnosis</t>
        </is>
      </c>
      <c r="H13" s="75" t="inlineStr"/>
      <c r="I13" s="75" t="inlineStr">
        <is>
          <t>Conference paper</t>
        </is>
      </c>
      <c r="J13" s="75" t="inlineStr"/>
      <c r="K13" s="75" t="inlineStr">
        <is>
          <t>Exportado de Scopus</t>
        </is>
      </c>
      <c r="L13" s="75" t="inlineStr">
        <is>
          <t>C:\Users\plusm\Desktop\Tesis\Bibliografia\Antracnosis\scopus_export_Sep 9-2026_f215638f-fffb-429f-adc7-ae9f84755503.csv</t>
        </is>
      </c>
    </row>
    <row r="14" ht="32" customHeight="1" s="34">
      <c r="A14" s="74" t="inlineStr">
        <is>
          <t>B0011</t>
        </is>
      </c>
      <c r="B14" s="74" t="inlineStr">
        <is>
          <t>Springer</t>
        </is>
      </c>
      <c r="C14" s="74" t="inlineStr">
        <is>
          <t>Burkholderia contaminans siderophore‑rich supernatants suppress post‑harvest anthracnose in avocado fruits Coyolxauhqui Barrera‑Galicia1 · Sergio A</t>
        </is>
      </c>
      <c r="D14" s="74" t="inlineStr"/>
      <c r="E14" s="74" t="n">
        <v>2026</v>
      </c>
      <c r="F14" s="74" t="inlineStr">
        <is>
          <t>10.1007/s00253-026-13715-2</t>
        </is>
      </c>
      <c r="G14" s="74" t="inlineStr">
        <is>
          <t>Antracnosis</t>
        </is>
      </c>
      <c r="H14" s="74" t="inlineStr">
        <is>
          <t>Vol.:(0123456789) Applied Microbiology and Biotechnology (2026) 110:35 https://doi.org/10.1007/s00253-026-13715-2 RESEARCH Burkholderia contaminans siderophore‑rich supernatants suppress post‑harvest anthracnose in avocado fruits Coyolxauhqui Barrera‑Galicia1 · Sergio A. Covarrubias1 · Juan Armando Flores de la Torre1 · Héctor A. Peniche‑Pávia3 · John P . Délano‑Frier2 Received: 4 August 2025 / Revised: 7 January 2026 / Accepted: 9 January 2026 © The Author(s) 2026 Abstract Siderophores are iron-chelating secondary metabolites that can effectively control fungal diseases in several agronomically important crops. In the present study, the bacterium Burkholderia contaminans MSR2 was found to profusely accumulate siderophores when grown under iron-limiting conditions. Therefore, subsequent experimental procedures were performed to determine whether the siderophore-rich supernatants of B. contaminans MSR2 were effective against anthracnose disease caused by Colletotrichum gloeosporioides in post-harvest avocado fruits. Dual culture assays performed in vitro showed that B. contaminans MSR2 produced an approximate 25% reduction in the radial mycelial growth of C. gloeosporioides. Moreover, cell-free supernatants (CFSs) with a siderophore concentration of 58.08 mM deferoxamine mesylate equivalent caused a 78% reduction of C. gloeosporioides growth under in vitro conditions. In avocado fruits, siderophore-rich CFSs significantly reduced the severity and incidence of post-harvest a...</t>
        </is>
      </c>
      <c r="I14" s="74" t="inlineStr">
        <is>
          <t>Artículo PDF</t>
        </is>
      </c>
      <c r="J14" s="74" t="inlineStr">
        <is>
          <t>Applied Microbiology and Biotechnology, https://doi.org/10.1007/s00253-026-13715-2</t>
        </is>
      </c>
      <c r="K14" s="74" t="inlineStr">
        <is>
          <t>PDF descargado / leído</t>
        </is>
      </c>
      <c r="L14" s="74" t="inlineStr">
        <is>
          <t>C:\Users\plusm\Desktop\Tesis\Bibliografia\Antracnosis\Springer\s00253-026-13715-2.pdf</t>
        </is>
      </c>
    </row>
    <row r="15" ht="32" customHeight="1" s="34">
      <c r="A15" s="75" t="inlineStr">
        <is>
          <t>B0012</t>
        </is>
      </c>
      <c r="B15" s="75" t="inlineStr">
        <is>
          <t>Scopus</t>
        </is>
      </c>
      <c r="C15" s="75" t="inlineStr">
        <is>
          <t>Identification and Pathogenicity of Botryosphaeriaceae, Colletotrichum, and Phytophthora Species Associated with Avocado Diseases in Italy</t>
        </is>
      </c>
      <c r="D15" s="75" t="inlineStr">
        <is>
          <t>Linaldeddu B.T.; Bregant C.; Muscas J.; Maddau L.; Vecchio L.; Polizzi G.; Aiello D.</t>
        </is>
      </c>
      <c r="E15" s="75" t="n">
        <v>2026</v>
      </c>
      <c r="F15" s="75" t="inlineStr">
        <is>
          <t>10.3390/agriculture16101035</t>
        </is>
      </c>
      <c r="G15" s="75" t="inlineStr">
        <is>
          <t>Antracnosis</t>
        </is>
      </c>
      <c r="H15" s="75" t="inlineStr"/>
      <c r="I15" s="75" t="inlineStr">
        <is>
          <t>Article</t>
        </is>
      </c>
      <c r="J15" s="75" t="inlineStr">
        <is>
          <t>Agriculture (Switzerland)</t>
        </is>
      </c>
      <c r="K15" s="75" t="inlineStr">
        <is>
          <t>Exportado de Scopus</t>
        </is>
      </c>
      <c r="L15" s="75" t="inlineStr">
        <is>
          <t>C:\Users\plusm\Desktop\Tesis\Bibliografia\Antracnosis\scopus_export_Sep 9-2026_f215638f-fffb-429f-adc7-ae9f84755503.csv</t>
        </is>
      </c>
    </row>
    <row r="16" ht="32" customHeight="1" s="34">
      <c r="A16" s="74" t="inlineStr">
        <is>
          <t>B0013</t>
        </is>
      </c>
      <c r="B16" s="74" t="inlineStr">
        <is>
          <t>PDF local</t>
        </is>
      </c>
      <c r="C16" s="74" t="inlineStr">
        <is>
          <t>s41598-026-50025-z</t>
        </is>
      </c>
      <c r="D16" s="74" t="inlineStr"/>
      <c r="E16" s="74" t="n">
        <v>2026</v>
      </c>
      <c r="F16" s="74" t="inlineStr">
        <is>
          <t>10.1038/s41598-026-50025-z</t>
        </is>
      </c>
      <c r="G16" s="74" t="inlineStr">
        <is>
          <t>Antracnosis</t>
        </is>
      </c>
      <c r="H16" s="74" t="inlineStr">
        <is>
          <t>OPEN Scientific Reports | (2026) 16:17129 1| https://doi.org/10.1038/s41598-026-50025-z Spectrally optimised YOLOv10s- SeqOpt framework for real-time UAV-based early detection of avocado foliar diseases in indian orchards R. P . Karthik 1, Murugesan Govindasamy1, Suresh Muthusamy2 &amp; Abhinandan Routray3 Avocado orchards in southern India experience annual yield losses of 20–40% due to foliar pathogens, including Anthracnose (Colletotrichum Gloeosporioides), Root Rot (Phytophthora Cinnamomi), Algal Leaf Spot (Cephaleuros Virescens) and Scab (Elsinoe Perseae). Conventional field scouting and RGB based imaging are unable to detect early-stage infections beneath dense canopy cover, delaying timely intervention and contributing to excessive fungicide use. To address these limitations, this study introduces a UAV based multispectral-RGB imaging pipeline paired with a deep learning detection framework built from the YOLO family of models (YOLOv5s-YOLOv10s) evaluated on a field-collected dataset of 5,953 annotated images comprising 35,422 bounding box instances across four foliar disease classes. A Sequential SGD-AdamW (SeqOpt) optimizer was designed to stabilize gradient dynamics multispectral noise by combining the global exploration capability of SGD in early training phases with the adaptive refinement precision of AdamW in later phases. As a result, SeqOpt achieved an 8% reduction in final loss and a 14% improvement in stability index compared to individual baseline optimiser...</t>
        </is>
      </c>
      <c r="I16" s="74" t="inlineStr">
        <is>
          <t>Artículo PDF</t>
        </is>
      </c>
      <c r="J16" s="74" t="inlineStr">
        <is>
          <t>Antracnosis</t>
        </is>
      </c>
      <c r="K16" s="74" t="inlineStr">
        <is>
          <t>PDF descargado / leído</t>
        </is>
      </c>
      <c r="L16" s="74" t="inlineStr">
        <is>
          <t>C:\Users\plusm\Desktop\Tesis\Bibliografia\Antracnosis\s41598-026-50025-z.pdf</t>
        </is>
      </c>
    </row>
    <row r="17" ht="32" customHeight="1" s="34">
      <c r="A17" s="75" t="inlineStr">
        <is>
          <t>B0014</t>
        </is>
      </c>
      <c r="B17" s="75" t="inlineStr">
        <is>
          <t>PDF local</t>
        </is>
      </c>
      <c r="C17" s="75" t="inlineStr">
        <is>
          <t>Spatial Mapping of Avocado Anthracnose Severity Using UAV-Derived Vegetation Indices in Amazonas, Peru</t>
        </is>
      </c>
      <c r="D17" s="75" t="inlineStr"/>
      <c r="E17" s="75" t="n">
        <v>2026</v>
      </c>
      <c r="F17" s="75" t="inlineStr"/>
      <c r="G17" s="75" t="inlineStr">
        <is>
          <t>Antracnosis</t>
        </is>
      </c>
      <c r="H17" s="75" t="inlineStr">
        <is>
          <t>Academic Editors: Bruno S. Faiçal and Bruno Bogaz Zarpelão Received: 14 January 2026 Revised: 30 July 2026 Accepted: 6 August 2026 Published: 16 August 2026 Copyright: © 2026 by the authors. Licensee MDPI, Basel, Switzerland. This article is an open access article distributed under the terms and conditions of the Creative Commons Attribution (CC BY) license. Article Spatial Mapping of Avocado Anthracnose Severity Using UA V-Derived Vegetation Indices in Amazonas, Peru Marly Guelac-Santillan 1,2,3, * , Julio Puscan-Rojas 3 , José Anderson Sánchez-Vega 3 , Angel Fernando Huaman-Pilco 2,3 , Angel J. Medina-Medina 3 , Katerin M. T uesta-Trauco3 , Jorge Marino Canta-Ventura 3, Elgar Barboza 3,4, * and Jhon A. Zabaleta-Santisteban 3 1 Grupo de Investigación en Patología Intracelular de Plantas, Instituto de Investigación para el Desarrollo Sustentable de Ceja de Selva, Universidad Nacional Toribio Rodríguez de Mendoza de Amazonas, Chachapoyas 01001, Peru 2 Grupo de Investigación en Raíces y Tuberosas (GIRT), Centro de Investigación en Germoplasma Vegetal y Mejoramiento Genético de Plantas (CIGEMP), Universidad Nacional Toribio Rodríguez de Mendoza de Amazonas, Chachapoyas 01001, Peru; angel.huaman@untrm.edu.pe 3 Instituto de Investigación para el Desarrollo Sustentable de Ceja de Selva, Universidad Nacional Toribio Rodríguez de Mendoza de Amazonas, Chachapoyas 01001, Peru; 7278447092@untrm.edu.pe (J.P .-R.); 7246207471@untrm.edu.pe (J.A.S.-V .); angel.medina@untrm.edu.pe (A.J.M....</t>
        </is>
      </c>
      <c r="I17" s="75" t="inlineStr">
        <is>
          <t>Artículo PDF</t>
        </is>
      </c>
      <c r="J17" s="75" t="inlineStr">
        <is>
          <t>Unmanned aerial vehicle (UAV)-based multispectral remote sensing has emerged as a promising tool for monitoring crop physiological status and supporting precision disease management. However, the capacity of multispectral vegetation indices to det...</t>
        </is>
      </c>
      <c r="K17" s="75" t="inlineStr">
        <is>
          <t>PDF descargado / leído</t>
        </is>
      </c>
      <c r="L17" s="75" t="inlineStr">
        <is>
          <t>C:\Users\plusm\Desktop\Tesis\Bibliografia\Antracnosis\agriengineering-08-00340.pdf</t>
        </is>
      </c>
    </row>
    <row r="18" ht="32" customHeight="1" s="34">
      <c r="A18" s="74" t="inlineStr">
        <is>
          <t>B0015</t>
        </is>
      </c>
      <c r="B18" s="74" t="inlineStr">
        <is>
          <t>Scopus</t>
        </is>
      </c>
      <c r="C18" s="74" t="inlineStr">
        <is>
          <t>Spatial Mapping of Avocado Anthracnose Severity Using UAV-Derived Vegetation Indices in Amazonas, Peru</t>
        </is>
      </c>
      <c r="D18" s="74" t="inlineStr">
        <is>
          <t>Guelac-Santillan M.; Puscan-Rojas J.; Sánchez-Vega J.A.; Huaman-Pilco A.F.; Medina-Medina A.J.; Tuesta-Trauco K.M.; Canta-Ventura J.M.; Barboza E.; Zabaleta-Santisteban J.A.</t>
        </is>
      </c>
      <c r="E18" s="74" t="n">
        <v>2026</v>
      </c>
      <c r="F18" s="74" t="inlineStr">
        <is>
          <t>10.3390/agriengineering8080340</t>
        </is>
      </c>
      <c r="G18" s="74" t="inlineStr">
        <is>
          <t>Antracnosis</t>
        </is>
      </c>
      <c r="H18" s="74" t="inlineStr"/>
      <c r="I18" s="74" t="inlineStr">
        <is>
          <t>Article</t>
        </is>
      </c>
      <c r="J18" s="74" t="inlineStr">
        <is>
          <t>AgriEngineering</t>
        </is>
      </c>
      <c r="K18" s="74" t="inlineStr">
        <is>
          <t>Exportado de Scopus</t>
        </is>
      </c>
      <c r="L18" s="74" t="inlineStr">
        <is>
          <t>C:\Users\plusm\Desktop\Tesis\Bibliografia\Antracnosis\scopus_export_Sep 9-2026_f215638f-fffb-429f-adc7-ae9f84755503.csv</t>
        </is>
      </c>
    </row>
    <row r="19" ht="32" customHeight="1" s="34">
      <c r="A19" s="75" t="inlineStr">
        <is>
          <t>B0016</t>
        </is>
      </c>
      <c r="B19" s="75" t="inlineStr">
        <is>
          <t>IEEE Xplore</t>
        </is>
      </c>
      <c r="C19" s="75" t="inlineStr">
        <is>
          <t>CNN-Based Plant Leaf Disease Identification and Classification for Sustainable Agriculture</t>
        </is>
      </c>
      <c r="D19" s="75" t="inlineStr"/>
      <c r="E19" s="75" t="n"/>
      <c r="F19" s="75" t="inlineStr"/>
      <c r="G19" s="75" t="inlineStr">
        <is>
          <t>Apoyo metodológico</t>
        </is>
      </c>
      <c r="H19" s="75" t="inlineStr">
        <is>
          <t>https://ieeexplore.ieee.org/document/10883522/</t>
        </is>
      </c>
      <c r="I19" s="75" t="inlineStr">
        <is>
          <t>Enlace / recurso web</t>
        </is>
      </c>
      <c r="J19" s="75" t="inlineStr">
        <is>
          <t>ieeexplore.ieee.org</t>
        </is>
      </c>
      <c r="K19" s="75" t="inlineStr">
        <is>
          <t>Enlace local</t>
        </is>
      </c>
      <c r="L19" s="75" t="inlineStr">
        <is>
          <t>C:\Users\plusm\Desktop\Tesis\Bibliografia\Cultivos comparativos\IEEE Xplore\CNN-Based Plant Leaf Disease Identification and Classification for Sustainable Agriculture.url</t>
        </is>
      </c>
    </row>
    <row r="20" ht="32" customHeight="1" s="34">
      <c r="A20" s="74" t="inlineStr">
        <is>
          <t>B0017</t>
        </is>
      </c>
      <c r="B20" s="74" t="inlineStr">
        <is>
          <t>IEEE Xplore</t>
        </is>
      </c>
      <c r="C20" s="74" t="inlineStr">
        <is>
          <t>Crop Disease Prediction System</t>
        </is>
      </c>
      <c r="D20" s="74" t="inlineStr"/>
      <c r="E20" s="74" t="n"/>
      <c r="F20" s="74" t="inlineStr"/>
      <c r="G20" s="74" t="inlineStr">
        <is>
          <t>Apoyo metodológico</t>
        </is>
      </c>
      <c r="H20" s="74" t="inlineStr">
        <is>
          <t>https://ieeexplore.ieee.org/abstract/document/11582865</t>
        </is>
      </c>
      <c r="I20" s="74" t="inlineStr">
        <is>
          <t>Enlace / recurso web</t>
        </is>
      </c>
      <c r="J20" s="74" t="inlineStr">
        <is>
          <t>ieeexplore.ieee.org</t>
        </is>
      </c>
      <c r="K20" s="74" t="inlineStr">
        <is>
          <t>Enlace local</t>
        </is>
      </c>
      <c r="L20" s="74" t="inlineStr">
        <is>
          <t>C:\Users\plusm\Desktop\Tesis\Bibliografia\Vision artificial y UAV\IEEE Xplore\Crop Disease Prediction System.url</t>
        </is>
      </c>
    </row>
    <row r="21" ht="32" customHeight="1" s="34">
      <c r="A21" s="75" t="inlineStr">
        <is>
          <t>B0018</t>
        </is>
      </c>
      <c r="B21" s="75" t="inlineStr">
        <is>
          <t>IEEE Xplore</t>
        </is>
      </c>
      <c r="C21" s="75" t="inlineStr">
        <is>
          <t>Image-Based Plant Leaf Disease Detection using Deep Learning</t>
        </is>
      </c>
      <c r="D21" s="75" t="inlineStr"/>
      <c r="E21" s="75" t="n"/>
      <c r="F21" s="75" t="inlineStr"/>
      <c r="G21" s="75" t="inlineStr">
        <is>
          <t>Apoyo metodológico</t>
        </is>
      </c>
      <c r="H21" s="75" t="inlineStr">
        <is>
          <t>https://ieeexplore.ieee.org/document/10627918/</t>
        </is>
      </c>
      <c r="I21" s="75" t="inlineStr">
        <is>
          <t>Enlace / recurso web</t>
        </is>
      </c>
      <c r="J21" s="75" t="inlineStr">
        <is>
          <t>ieeexplore.ieee.org</t>
        </is>
      </c>
      <c r="K21" s="75" t="inlineStr">
        <is>
          <t>Enlace local</t>
        </is>
      </c>
      <c r="L21" s="75" t="inlineStr">
        <is>
          <t>C:\Users\plusm\Desktop\Tesis\Bibliografia\Cultivos comparativos\IEEE Xplore\Image-Based Plant Leaf Disease Detection using Deep Learning.url</t>
        </is>
      </c>
    </row>
    <row r="22" ht="32" customHeight="1" s="34">
      <c r="A22" s="74" t="inlineStr">
        <is>
          <t>B0019</t>
        </is>
      </c>
      <c r="B22" s="74" t="inlineStr">
        <is>
          <t>IEEE Xplore</t>
        </is>
      </c>
      <c r="C22" s="74" t="inlineStr">
        <is>
          <t>Plant Disease Detection Using Deep Learning</t>
        </is>
      </c>
      <c r="D22" s="74" t="inlineStr"/>
      <c r="E22" s="74" t="n"/>
      <c r="F22" s="74" t="inlineStr"/>
      <c r="G22" s="74" t="inlineStr">
        <is>
          <t>Apoyo metodológico</t>
        </is>
      </c>
      <c r="H22" s="74" t="inlineStr">
        <is>
          <t>https://ieeexplore.ieee.org/document/9417910/</t>
        </is>
      </c>
      <c r="I22" s="74" t="inlineStr">
        <is>
          <t>Enlace / recurso web</t>
        </is>
      </c>
      <c r="J22" s="74" t="inlineStr">
        <is>
          <t>ieeexplore.ieee.org</t>
        </is>
      </c>
      <c r="K22" s="74" t="inlineStr">
        <is>
          <t>Enlace local</t>
        </is>
      </c>
      <c r="L22" s="74" t="inlineStr">
        <is>
          <t>C:\Users\plusm\Desktop\Tesis\Bibliografia\Cultivos comparativos\IEEE Xplore\Plant Disease Detection Using Deep Learning.url</t>
        </is>
      </c>
    </row>
    <row r="23" ht="32" customHeight="1" s="34">
      <c r="A23" s="75" t="inlineStr">
        <is>
          <t>B0020</t>
        </is>
      </c>
      <c r="B23" s="75" t="inlineStr">
        <is>
          <t>IEEE Xplore</t>
        </is>
      </c>
      <c r="C23" s="75" t="inlineStr">
        <is>
          <t>Real-Time Detection and Identification of Plant Leaf Diseases using YOLOv4-tiny</t>
        </is>
      </c>
      <c r="D23" s="75" t="inlineStr"/>
      <c r="E23" s="75" t="n"/>
      <c r="F23" s="75" t="inlineStr"/>
      <c r="G23" s="75" t="inlineStr">
        <is>
          <t>Apoyo metodológico</t>
        </is>
      </c>
      <c r="H23" s="75" t="inlineStr">
        <is>
          <t>https://ieeexplore.ieee.org/document/9579783/</t>
        </is>
      </c>
      <c r="I23" s="75" t="inlineStr">
        <is>
          <t>Enlace / recurso web</t>
        </is>
      </c>
      <c r="J23" s="75" t="inlineStr">
        <is>
          <t>ieeexplore.ieee.org</t>
        </is>
      </c>
      <c r="K23" s="75" t="inlineStr">
        <is>
          <t>Enlace local</t>
        </is>
      </c>
      <c r="L23" s="75" t="inlineStr">
        <is>
          <t>C:\Users\plusm\Desktop\Tesis\Bibliografia\Vision artificial y UAV\IEEE Xplore\Real-Time Detection and Identification of Plant Leaf Diseases using YOLOv4-tiny.url</t>
        </is>
      </c>
    </row>
    <row r="24" ht="32" customHeight="1" s="34">
      <c r="A24" s="74" t="inlineStr">
        <is>
          <t>B0021</t>
        </is>
      </c>
      <c r="B24" s="74" t="inlineStr">
        <is>
          <t>PDF local</t>
        </is>
      </c>
      <c r="C24" s="74" t="inlineStr">
        <is>
          <t>Simultaneously prediction of multiple wheat leaf phenotypes using hyperspectral imaging with multi-task machine and deep learning</t>
        </is>
      </c>
      <c r="D24" s="74" t="inlineStr"/>
      <c r="E24" s="74" t="n"/>
      <c r="F24" s="74" t="inlineStr"/>
      <c r="G24" s="74" t="inlineStr">
        <is>
          <t>Apoyo metodológico</t>
        </is>
      </c>
      <c r="H24" s="74" t="inlineStr">
        <is>
          <t>Simultaneously prediction of multiple wheat leaf phenotypes using hyperspectral imaging with multi-task machine and deep learning Xiaoyu Fu a , Lili Yao a , Xincheng Zhang b , Yuxin Xiao a , Kai Gao a , Wenjie Liu a , Qinfeng Zhang a , Hengnian Qi a , Chu Zhang a , * , Yiying Zhao c , * a School of Information Engineering, Huzhou Normal University, Huzhou 313000, China b Institute of Crop Science, Huzhou Academy of Agricultural Sciences, Huzhou 313000, China c Institute of Digital Agriculture, Zhejiang Academy of Agricultural Sciences, Hangzhou 310021, China HIGHLIGHTS GRAPHICAL ABSTRACT • Wheat variety, water content and SPAD were predicted by hyperspectral imaging. • Single-task models performed well on regression and classification of phenotypes. • Multi-task models performed well on classification and regression of phenotypes. • Different loss function of multi-task deep learning models showed prom - ising results. ARTICLE INFO Keywords: Hyperspectral imaging Multi-task learning Wheat varieties SPAD Leaf moisture content ABSTRACT Chlorophyll content (represented by the Soil and Plant Analyzer Development (SPAD) value) and leaf moisture content (LMC) are two key physiological phenotypic traits during wheat growth, and their variations among different wheat varieties reflect crop growth, stress response, and breeding evaluation. Simultaneous identifi - cation of wheat varieties and prediction of SPAD and LMC are therefore important for precision crop monitoring. In this...</t>
        </is>
      </c>
      <c r="I24" s="74" t="inlineStr">
        <is>
          <t>Artículo PDF</t>
        </is>
      </c>
      <c r="J24" s="74" t="inlineStr">
        <is>
          <t>Spectrochimica Acta Part A: Molecular and Biomolecular Spectroscopy, 363 (2026) 128294. doi:10.1016/j.saa.2026.128294</t>
        </is>
      </c>
      <c r="K24" s="74" t="inlineStr">
        <is>
          <t>PDF descargado / leído</t>
        </is>
      </c>
      <c r="L24" s="74" t="inlineStr">
        <is>
          <t>C:\Users\plusm\Desktop\Tesis\Bibliografia\Cultivos comparativos\Simultaneously prediction of multiple wheat leaf phenotypes using.pdf</t>
        </is>
      </c>
    </row>
    <row r="25" ht="32" customHeight="1" s="34">
      <c r="A25" s="75" t="inlineStr">
        <is>
          <t>B0022</t>
        </is>
      </c>
      <c r="B25" s="75" t="inlineStr">
        <is>
          <t>PDF local</t>
        </is>
      </c>
      <c r="C25" s="75" t="inlineStr">
        <is>
          <t>Mitigating negative effects of long-term treated wastewater irrigation: Leaf gas exchange and water use efficiency response of avocado trees ( Persea americana Mill.)</t>
        </is>
      </c>
      <c r="D25" s="75" t="inlineStr"/>
      <c r="E25" s="75" t="n">
        <v>2021</v>
      </c>
      <c r="F25" s="75" t="inlineStr"/>
      <c r="G25" s="75" t="inlineStr">
        <is>
          <t>Apoyo metodológico</t>
        </is>
      </c>
      <c r="H25" s="75" t="inlineStr">
        <is>
          <t>Agricultural Water Management 256 (2021) 107126 Available online 21 August 2021 0378-3774/© 2021 Elsevier B.V. All rights reserved. Mitigating negative effects of long-term treated wastewater irrigation: Leaf gas exchange and water use efficiency response of avocado trees ( Persea americana Mill.) Diriba Bane Nemera a , b , * , Asher Bar-Tal a , Guy J. Levy a , Jorge Tarchitzky b , Ido Rog c , Tamir Klein c , Shabtai Cohen a a Institute of Soil, Water and Environmental Sciences, ARO Volcani Centre, Israel b The Robert H. Smith Faculty of Agriculture, Food and Environment, The Hebrew University of Jerusalem, Israel c Department of Earth and Planetary Sciences, Weizmann Institute of Science, Israel ARTICLE INFO Handling Editor - Dr. B.E. Clothier Keywords: Stomatal conductance Net assimilation rate Transpiration rate Leaf hydraulic conductance : Leaf water potential ABSTRACT Declining performance of avocado orchards growing in a clayey soil irrigated with treated wastewater (TWW) for more than 5 years has been observed in Israel. Measures studied to mitigate this were freshwater (FW), blended TWW:FW in a 1:1 ratio (MIX), low-frequency TWW-irrigation (LFI), TWW irrigated tuff trenches (TUF) and TWW as the control treatment. This study reports on the response of avocado leaf gas exchange, intrinsic water use efficiency, leaf water potential and leaf hydraulic conductance ( K leaf ) to the mitigation measures applied to a ’ Hass ’ avocado orchard ( Persea americana Mill.) previ...</t>
        </is>
      </c>
      <c r="I25" s="75" t="inlineStr">
        <is>
          <t>Artículo PDF</t>
        </is>
      </c>
      <c r="J25" s="75" t="inlineStr">
        <is>
          <t>Agricultural Water Management, 256 (2021) 107126. doi:10.1016/j.agwat.2021.107126</t>
        </is>
      </c>
      <c r="K25" s="75" t="inlineStr">
        <is>
          <t>PDF descargado / leído</t>
        </is>
      </c>
      <c r="L25" s="75" t="inlineStr">
        <is>
          <t>C:\Users\plusm\Desktop\Tesis\Bibliografia\Fisiologia y riego\Mitigating negative effects of long-term treated wastewater irrigationLeaf.pdf</t>
        </is>
      </c>
    </row>
    <row r="26" ht="32" customHeight="1" s="34">
      <c r="A26" s="74" t="inlineStr">
        <is>
          <t>B0023</t>
        </is>
      </c>
      <c r="B26" s="74" t="inlineStr">
        <is>
          <t>IEEE Xplore</t>
        </is>
      </c>
      <c r="C26" s="74" t="inlineStr">
        <is>
          <t>Plant Disease Detection Using Deep Learning</t>
        </is>
      </c>
      <c r="D26" s="74" t="inlineStr">
        <is>
          <t>IEEE I2CT, 2021</t>
        </is>
      </c>
      <c r="E26" s="74" t="n">
        <v>2021</v>
      </c>
      <c r="F26" s="74" t="inlineStr">
        <is>
          <t>10.1109/I2CT51068.2021.9417910</t>
        </is>
      </c>
      <c r="G26" s="74" t="inlineStr">
        <is>
          <t>Apoyo metodológico</t>
        </is>
      </c>
      <c r="H26" s="74" t="inlineStr">
        <is>
          <t>Compara enfoques CNN y transformer para deteccion de enfermedades vegetales.</t>
        </is>
      </c>
      <c r="I26" s="74" t="inlineStr">
        <is>
          <t>Ficha bibliográfica</t>
        </is>
      </c>
      <c r="J26" s="74" t="inlineStr">
        <is>
          <t>2021 6th International Conference for Convergence in Technology</t>
        </is>
      </c>
      <c r="K26" s="74" t="inlineStr">
        <is>
          <t>Ficha local</t>
        </is>
      </c>
      <c r="L26" s="74" t="inlineStr">
        <is>
          <t>C:\Users\plusm\Desktop\Tesis\Bibliografia\Cultivos comparativos\IEEE Xplore\Plant Disease Detection Using Deep Learning.md</t>
        </is>
      </c>
    </row>
    <row r="27" ht="32" customHeight="1" s="34">
      <c r="A27" s="75" t="inlineStr">
        <is>
          <t>B0024</t>
        </is>
      </c>
      <c r="B27" s="75" t="inlineStr">
        <is>
          <t>IEEE Xplore</t>
        </is>
      </c>
      <c r="C27" s="75" t="inlineStr">
        <is>
          <t>Real-Time Detection and Identification of Plant Leaf Diseases using YOLOv4-tiny</t>
        </is>
      </c>
      <c r="D27" s="75" t="inlineStr">
        <is>
          <t>IEEE ICCCNT, 2021</t>
        </is>
      </c>
      <c r="E27" s="75" t="n">
        <v>2021</v>
      </c>
      <c r="F27" s="75" t="inlineStr">
        <is>
          <t>10.1109/ICCCNT51525.2021.9579783</t>
        </is>
      </c>
      <c r="G27" s="75" t="inlineStr">
        <is>
          <t>Apoyo metodológico</t>
        </is>
      </c>
      <c r="H27" s="75" t="inlineStr">
        <is>
          <t>Antecedente metodologico para deteccion en tiempo real de enfermedades foliares con YOLOv4-tiny.</t>
        </is>
      </c>
      <c r="I27" s="75" t="inlineStr">
        <is>
          <t>Ficha bibliográfica</t>
        </is>
      </c>
      <c r="J27" s="75" t="inlineStr">
        <is>
          <t>2021 12th International Conference on Computing Communication and Networking Technologies</t>
        </is>
      </c>
      <c r="K27" s="75" t="inlineStr">
        <is>
          <t>Ficha local</t>
        </is>
      </c>
      <c r="L27" s="75" t="inlineStr">
        <is>
          <t>C:\Users\plusm\Desktop\Tesis\Bibliografia\Vision artificial y UAV\IEEE Xplore\Real-Time Detection and Identification of Plant Leaf Diseases using YOLOv4-tiny.md</t>
        </is>
      </c>
    </row>
    <row r="28" ht="32" customHeight="1" s="34">
      <c r="A28" s="74" t="inlineStr">
        <is>
          <t>B0025</t>
        </is>
      </c>
      <c r="B28" s="74" t="inlineStr">
        <is>
          <t>PDF local</t>
        </is>
      </c>
      <c r="C28" s="74" t="inlineStr">
        <is>
          <t>Implementation of Deep Learning for Image-Based Potato Leaf Disease Detection</t>
        </is>
      </c>
      <c r="D28" s="74" t="inlineStr"/>
      <c r="E28" s="74" t="n">
        <v>2023</v>
      </c>
      <c r="F28" s="74" t="inlineStr">
        <is>
          <t>10.22214/ijraset.2023.53806</t>
        </is>
      </c>
      <c r="G28" s="74" t="inlineStr">
        <is>
          <t>Apoyo metodológico</t>
        </is>
      </c>
      <c r="H28" s="74" t="inlineStr">
        <is>
          <t>11 VI June 2023 https://doi.org/10.22214/ijraset.2023.53806 International Journal for Research in Applied Science &amp; Engineering Technology (IJRASET) ISSN: 2321-9653; IC Value: 45.98; SJ Impact Factor: 7.538 Volume 11 Issue VI Jun 2023- Available at www.ijraset.com 393 ©IJRASET: All Rights are Reserved | SJ Impact Factor 7.538 | ISRA Journal Impact Factor 7.894 | 3938 Implementation of Deep Learning for Image-Based Potato Leaf Disease Detection K Sharath Chandra1, K Varun2, L Rakesh3, L Ashrith4 1, 2, 3, 4Artificial Intelligence &amp; Machine Learning, Malla Reddy University Abstract: Crop Potato is one of the most important food crops worldwide, and potato tuber diseases can cause signif icant economic losses to farmers and affect food security. Early detection and timely management of potato tuber diseases are critical for reducing losses and increasing crop yields. However, traditional methods of disease detection re ly heavily on visual inspection by trained experts, which can be time-consuming, subjective, and prone to errors. The use of deep learning for image- based potato tuber disease detection offers several advantages over traditional methods. First, it i s a non -invasive and non - destructive approach, which means that the potatoes can be inspected without damaging them. Second, it can pr ovide objective and consistent results, which can reduce the variability of disease diagnosis among different expert s. Third, deep learning models can proce ss large amounts of d...</t>
        </is>
      </c>
      <c r="I28" s="74" t="inlineStr">
        <is>
          <t>Artículo PDF</t>
        </is>
      </c>
      <c r="J28" s="74" t="inlineStr">
        <is>
          <t>Cultivos comparativos</t>
        </is>
      </c>
      <c r="K28" s="74" t="inlineStr">
        <is>
          <t>PDF descargado / leído</t>
        </is>
      </c>
      <c r="L28" s="74" t="inlineStr">
        <is>
          <t>C:\Users\plusm\Desktop\Tesis\Bibliografia\Cultivos comparativos\Implementation-of-deep-learning-for-image-based-potato-leaf-disease-detection.pdf</t>
        </is>
      </c>
    </row>
    <row r="29" ht="32" customHeight="1" s="34">
      <c r="A29" s="75" t="inlineStr">
        <is>
          <t>B0026</t>
        </is>
      </c>
      <c r="B29" s="75" t="inlineStr">
        <is>
          <t>IEEE Xplore</t>
        </is>
      </c>
      <c r="C29" s="75" t="inlineStr">
        <is>
          <t>Image-Based Plant Leaf Disease Detection using Deep Learning</t>
        </is>
      </c>
      <c r="D29" s="75" t="inlineStr">
        <is>
          <t>IEEE IConSCEPT, 2024</t>
        </is>
      </c>
      <c r="E29" s="75" t="n">
        <v>2024</v>
      </c>
      <c r="F29" s="75" t="inlineStr">
        <is>
          <t>10.1109/IConSCEPT61884.2024.10627918</t>
        </is>
      </c>
      <c r="G29" s="75" t="inlineStr">
        <is>
          <t>Apoyo metodológico</t>
        </is>
      </c>
      <c r="H29" s="75" t="inlineStr">
        <is>
          <t>Usa ensemble de ResNet, MobileNetV2 y EfficientNet con Grad-CAM. Es comparable para justificar explicabilidad y transferencia a aguacate.</t>
        </is>
      </c>
      <c r="I29" s="75" t="inlineStr">
        <is>
          <t>Ficha bibliográfica</t>
        </is>
      </c>
      <c r="J29" s="75" t="inlineStr">
        <is>
          <t>2024 International Conference on Signal Processing, Computation, Electronics, Power and Telecommunication</t>
        </is>
      </c>
      <c r="K29" s="75" t="inlineStr">
        <is>
          <t>Ficha local</t>
        </is>
      </c>
      <c r="L29" s="75" t="inlineStr">
        <is>
          <t>C:\Users\plusm\Desktop\Tesis\Bibliografia\Cultivos comparativos\IEEE Xplore\Image-Based Plant Leaf Disease Detection using Deep Learning.md</t>
        </is>
      </c>
    </row>
    <row r="30" ht="32" customHeight="1" s="34">
      <c r="A30" s="74" t="inlineStr">
        <is>
          <t>B0027</t>
        </is>
      </c>
      <c r="B30" s="74" t="inlineStr">
        <is>
          <t>IEEE Xplore</t>
        </is>
      </c>
      <c r="C30" s="74" t="inlineStr">
        <is>
          <t>Plant Leaf Disease Detection, Classification, and Diagnosis Using Computer Vision and Artificial Intelligence: A Review</t>
        </is>
      </c>
      <c r="D30" s="74" t="inlineStr">
        <is>
          <t>Revision IEEE Access, 2024</t>
        </is>
      </c>
      <c r="E30" s="74" t="n">
        <v>2024</v>
      </c>
      <c r="F30" s="74" t="inlineStr">
        <is>
          <t>10.1109/ACCESS.2024.3373001</t>
        </is>
      </c>
      <c r="G30" s="74" t="inlineStr">
        <is>
          <t>Apoyo metodológico</t>
        </is>
      </c>
      <c r="H30" s="74" t="inlineStr">
        <is>
          <t>Revision amplia y de acceso abierto bajo licencia Creative Commons sobre deteccion, clasificacion y diagnostico de enfermedades foliares.</t>
        </is>
      </c>
      <c r="I30" s="74" t="inlineStr">
        <is>
          <t>Ficha bibliográfica</t>
        </is>
      </c>
      <c r="J30" s="74" t="inlineStr">
        <is>
          <t>IEEE Access, vol. 12, pp. 37443-37469</t>
        </is>
      </c>
      <c r="K30" s="74" t="inlineStr">
        <is>
          <t>Ficha local</t>
        </is>
      </c>
      <c r="L30" s="74" t="inlineStr">
        <is>
          <t>C:\Users\plusm\Desktop\Tesis\Bibliografia\Vision artificial y UAV\IEEE Xplore\Plant Leaf Disease Detection_ Classification_ and Diagnosis Using Computer Vision and Artificial Intelligence_ A Review.md</t>
        </is>
      </c>
    </row>
    <row r="31" ht="32" customHeight="1" s="34">
      <c r="A31" s="75" t="inlineStr">
        <is>
          <t>B0028</t>
        </is>
      </c>
      <c r="B31" s="75" t="inlineStr">
        <is>
          <t>IEEE Xplore</t>
        </is>
      </c>
      <c r="C31" s="75" t="inlineStr">
        <is>
          <t>CNN-Based Plant Leaf Disease Identification and Classification for Sustainable Agriculture</t>
        </is>
      </c>
      <c r="D31" s="75" t="inlineStr">
        <is>
          <t>IEEE ICMCSI, 2025</t>
        </is>
      </c>
      <c r="E31" s="75" t="n">
        <v>2025</v>
      </c>
      <c r="F31" s="75" t="inlineStr">
        <is>
          <t>10.1109/ICMCSI64620.2025.10883522</t>
        </is>
      </c>
      <c r="G31" s="75" t="inlineStr">
        <is>
          <t>Apoyo metodológico</t>
        </is>
      </c>
      <c r="H31" s="75" t="inlineStr">
        <is>
          <t>Antecedente general para clasificacion automatica de enfermedades foliares mediante CNN.</t>
        </is>
      </c>
      <c r="I31" s="75" t="inlineStr">
        <is>
          <t>Ficha bibliográfica</t>
        </is>
      </c>
      <c r="J31" s="75" t="inlineStr">
        <is>
          <t>2025 6th International Conference on Mobile Computing and Sustainable Informatics</t>
        </is>
      </c>
      <c r="K31" s="75" t="inlineStr">
        <is>
          <t>Ficha local</t>
        </is>
      </c>
      <c r="L31" s="75" t="inlineStr">
        <is>
          <t>C:\Users\plusm\Desktop\Tesis\Bibliografia\Cultivos comparativos\IEEE Xplore\CNN-Based Plant Leaf Disease Identification and Classification for Sustainable Agriculture.md</t>
        </is>
      </c>
    </row>
    <row r="32" ht="32" customHeight="1" s="34">
      <c r="A32" s="74" t="inlineStr">
        <is>
          <t>B0029</t>
        </is>
      </c>
      <c r="B32" s="74" t="inlineStr">
        <is>
          <t>IEEE Xplore</t>
        </is>
      </c>
      <c r="C32" s="74" t="inlineStr">
        <is>
          <t>Crop Disease Prediction System</t>
        </is>
      </c>
      <c r="D32" s="74" t="inlineStr">
        <is>
          <t>IEEE ICESST, 2026</t>
        </is>
      </c>
      <c r="E32" s="74" t="n">
        <v>2026</v>
      </c>
      <c r="F32" s="74" t="inlineStr">
        <is>
          <t>10.1109/ICESST69086.2026.11582865</t>
        </is>
      </c>
      <c r="G32" s="74" t="inlineStr">
        <is>
          <t>Apoyo metodológico</t>
        </is>
      </c>
      <c r="H32" s="74" t="inlineStr">
        <is>
          <t>Sistema con CNN y aplicacion movil. Sirve como antecedente de despliegue practico.</t>
        </is>
      </c>
      <c r="I32" s="74" t="inlineStr">
        <is>
          <t>Ficha bibliográfica</t>
        </is>
      </c>
      <c r="J32" s="74" t="inlineStr">
        <is>
          <t>2026 IEEE International Conference on Emerging Synergy Science and Technology</t>
        </is>
      </c>
      <c r="K32" s="74" t="inlineStr">
        <is>
          <t>Ficha local</t>
        </is>
      </c>
      <c r="L32" s="74" t="inlineStr">
        <is>
          <t>C:\Users\plusm\Desktop\Tesis\Bibliografia\Vision artificial y UAV\IEEE Xplore\Crop Disease Prediction System.md</t>
        </is>
      </c>
    </row>
    <row r="33" ht="32" customHeight="1" s="34">
      <c r="A33" s="75" t="inlineStr">
        <is>
          <t>B0030</t>
        </is>
      </c>
      <c r="B33" s="75" t="inlineStr">
        <is>
          <t>Web / DOI</t>
        </is>
      </c>
      <c r="C33" s="75" t="inlineStr">
        <is>
          <t>06 Arana roja Oligonychus punicae Oliveira 2021</t>
        </is>
      </c>
      <c r="D33" s="75" t="inlineStr"/>
      <c r="E33" s="75" t="n"/>
      <c r="F33" s="75" t="inlineStr">
        <is>
          <t>10.1093/jee/toab029</t>
        </is>
      </c>
      <c r="G33" s="75" t="inlineStr">
        <is>
          <t>Araña roja</t>
        </is>
      </c>
      <c r="H33" s="75" t="inlineStr">
        <is>
          <t>https://doi.org/10.1093/jee/toab029</t>
        </is>
      </c>
      <c r="I33" s="75" t="inlineStr">
        <is>
          <t>Enlace / recurso web</t>
        </is>
      </c>
      <c r="J33" s="75" t="inlineStr">
        <is>
          <t>doi.org</t>
        </is>
      </c>
      <c r="K33" s="75" t="inlineStr">
        <is>
          <t>Enlace local</t>
        </is>
      </c>
      <c r="L33" s="75" t="inlineStr">
        <is>
          <t>C:\Users\plusm\Desktop\Tesis\Bibliografia\_Bibliografia adicional 2026\06_Arana_roja_Oligonychus_punicae_Oliveira_2021.url</t>
        </is>
      </c>
    </row>
    <row r="34" ht="32" customHeight="1" s="34">
      <c r="A34" s="74" t="inlineStr">
        <is>
          <t>B0031</t>
        </is>
      </c>
      <c r="B34" s="74" t="inlineStr">
        <is>
          <t>Scopus</t>
        </is>
      </c>
      <c r="C34" s="74" t="inlineStr">
        <is>
          <t>BIOLOGICAL PEST CONTROL OF THE TETRANYCHID MITE OLIGONYCHUS PERSEAE IN AVOCADO AND CHALLENGES TO FACE IN A CLIMATE CHANGE SCENARIO</t>
        </is>
      </c>
      <c r="D34" s="74" t="inlineStr">
        <is>
          <t>Guzmán C.; Montserrat M.</t>
        </is>
      </c>
      <c r="E34" s="74" t="n">
        <v>2020</v>
      </c>
      <c r="F34" s="74" t="inlineStr"/>
      <c r="G34" s="74" t="inlineStr">
        <is>
          <t>Araña roja</t>
        </is>
      </c>
      <c r="H34" s="74" t="inlineStr"/>
      <c r="I34" s="74" t="inlineStr">
        <is>
          <t>Book chapter</t>
        </is>
      </c>
      <c r="J34" s="74" t="inlineStr">
        <is>
          <t>Encyclopedia of Climate Change: Volume 11: (11 Volume Set)</t>
        </is>
      </c>
      <c r="K34" s="74" t="inlineStr">
        <is>
          <t>Exportado de Scopus</t>
        </is>
      </c>
      <c r="L34" s="74" t="inlineStr">
        <is>
          <t>C:\Users\plusm\Desktop\Tesis\Bibliografia\Araña roja\scopus_export_Sep 10-2026_7aa1caac-78ac-4052-b0ac-49ff0bda6f9c.csv</t>
        </is>
      </c>
    </row>
    <row r="35" ht="32" customHeight="1" s="34">
      <c r="A35" s="75" t="inlineStr">
        <is>
          <t>B0032</t>
        </is>
      </c>
      <c r="B35" s="75" t="inlineStr">
        <is>
          <t>Scopus</t>
        </is>
      </c>
      <c r="C35" s="75" t="inlineStr">
        <is>
          <t>MODELIZACIÓN ESPACIAL DE LAS POBLACIONES DE Oligonychus perseae (TUTTLE, BAKER Y ABATIELLO, 1976) EN EL ESTADO DE MÉXICO; [SPATIAL MODELING OF THE Oligonychus perseae (TUTTLE, BAKER AND ABATIELLO, 1976) POPULATIONS IN THE STATE OF MEXICO]</t>
        </is>
      </c>
      <c r="D35" s="75" t="inlineStr">
        <is>
          <t>Lara-Diaz A.V.; Ramírez-Dávila J.F.; Maldonado-Zamora F.I.; Rivera-Martínez R.; Acosta-Guadarrama A.D.; Lara-Vázquez F.</t>
        </is>
      </c>
      <c r="E35" s="75" t="n">
        <v>2020</v>
      </c>
      <c r="F35" s="75" t="inlineStr"/>
      <c r="G35" s="75" t="inlineStr">
        <is>
          <t>Araña roja</t>
        </is>
      </c>
      <c r="H35" s="75" t="inlineStr"/>
      <c r="I35" s="75" t="inlineStr">
        <is>
          <t>Article</t>
        </is>
      </c>
      <c r="J35" s="75" t="inlineStr">
        <is>
          <t>Revista Fitotecnia Mexicana</t>
        </is>
      </c>
      <c r="K35" s="75" t="inlineStr">
        <is>
          <t>Exportado de Scopus</t>
        </is>
      </c>
      <c r="L35" s="75" t="inlineStr">
        <is>
          <t>C:\Users\plusm\Desktop\Tesis\Bibliografia\Araña roja\scopus_export_Sep 10-2026_7aa1caac-78ac-4052-b0ac-49ff0bda6f9c.csv</t>
        </is>
      </c>
    </row>
    <row r="36" ht="32" customHeight="1" s="34">
      <c r="A36" s="74" t="inlineStr">
        <is>
          <t>B0033</t>
        </is>
      </c>
      <c r="B36" s="74" t="inlineStr">
        <is>
          <t>Web / DOI</t>
        </is>
      </c>
      <c r="C36" s="74" t="inlineStr">
        <is>
          <t>05 Arana roja Oligonychus perseae Torres 2022</t>
        </is>
      </c>
      <c r="D36" s="74" t="inlineStr"/>
      <c r="E36" s="74" t="n">
        <v>2022</v>
      </c>
      <c r="F36" s="74" t="inlineStr">
        <is>
          <t>10.1080/01647954.2022.2134923</t>
        </is>
      </c>
      <c r="G36" s="74" t="inlineStr">
        <is>
          <t>Araña roja</t>
        </is>
      </c>
      <c r="H36" s="74" t="inlineStr">
        <is>
          <t>https://doi.org/10.1080/01647954.2022.2134923</t>
        </is>
      </c>
      <c r="I36" s="74" t="inlineStr">
        <is>
          <t>Enlace / recurso web</t>
        </is>
      </c>
      <c r="J36" s="74" t="inlineStr">
        <is>
          <t>doi.org</t>
        </is>
      </c>
      <c r="K36" s="74" t="inlineStr">
        <is>
          <t>Enlace local</t>
        </is>
      </c>
      <c r="L36" s="74" t="inlineStr">
        <is>
          <t>C:\Users\plusm\Desktop\Tesis\Bibliografia\_Bibliografia adicional 2026\05_Arana_roja_Oligonychus_perseae_Torres_2022.url</t>
        </is>
      </c>
    </row>
    <row r="37" ht="32" customHeight="1" s="34">
      <c r="A37" s="75" t="inlineStr">
        <is>
          <t>B0034</t>
        </is>
      </c>
      <c r="B37" s="75" t="inlineStr">
        <is>
          <t>Scopus</t>
        </is>
      </c>
      <c r="C37"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37" s="75" t="inlineStr">
        <is>
          <t>Báñez-Aldave H.W.; Cuesta-Herrera L.; López-Hernández J.; Andrades-Grassi J.; Torres-Mantilla H.A.</t>
        </is>
      </c>
      <c r="E37" s="75" t="n">
        <v>2023</v>
      </c>
      <c r="F37" s="75" t="inlineStr">
        <is>
          <t>10.15446/rfnam.v76n2.102479</t>
        </is>
      </c>
      <c r="G37" s="75" t="inlineStr">
        <is>
          <t>Araña roja</t>
        </is>
      </c>
      <c r="H37" s="75" t="inlineStr"/>
      <c r="I37" s="75" t="inlineStr">
        <is>
          <t>Article</t>
        </is>
      </c>
      <c r="J37" s="75" t="inlineStr">
        <is>
          <t>Revista Facultad Nacional de Agronomia Medellin</t>
        </is>
      </c>
      <c r="K37" s="75" t="inlineStr">
        <is>
          <t>Exportado de Scopus</t>
        </is>
      </c>
      <c r="L37" s="75" t="inlineStr">
        <is>
          <t>C:\Users\plusm\Desktop\Tesis\Bibliografia\Araña roja\scopus_export_Sep 10-2026_7aa1caac-78ac-4052-b0ac-49ff0bda6f9c.csv</t>
        </is>
      </c>
    </row>
    <row r="38" ht="32" customHeight="1" s="34">
      <c r="A38" s="74" t="inlineStr">
        <is>
          <t>B0035</t>
        </is>
      </c>
      <c r="B38" s="74" t="inlineStr">
        <is>
          <t>Scopus</t>
        </is>
      </c>
      <c r="C38"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8" s="74" t="inlineStr">
        <is>
          <t>Deza-Deza G.; Pinna-Cabrejos J.</t>
        </is>
      </c>
      <c r="E38" s="74" t="n">
        <v>2023</v>
      </c>
      <c r="F38" s="74" t="inlineStr">
        <is>
          <t>10.31910/rudca.v26.n2.2023.2370</t>
        </is>
      </c>
      <c r="G38" s="74" t="inlineStr">
        <is>
          <t>Araña roja</t>
        </is>
      </c>
      <c r="H38" s="74" t="inlineStr"/>
      <c r="I38" s="74" t="inlineStr">
        <is>
          <t>Article</t>
        </is>
      </c>
      <c r="J38" s="74" t="inlineStr">
        <is>
          <t>Revista U.D.C.A Actualidad and Divulgacion Cientifica</t>
        </is>
      </c>
      <c r="K38" s="74" t="inlineStr">
        <is>
          <t>Exportado de Scopus</t>
        </is>
      </c>
      <c r="L38" s="74" t="inlineStr">
        <is>
          <t>C:\Users\plusm\Desktop\Tesis\Bibliografia\Araña roja\scopus_export_Sep 10-2026_7aa1caac-78ac-4052-b0ac-49ff0bda6f9c.csv</t>
        </is>
      </c>
    </row>
    <row r="39" ht="32" customHeight="1" s="34">
      <c r="A39" s="75" t="inlineStr">
        <is>
          <t>B0036</t>
        </is>
      </c>
      <c r="B39" s="75" t="inlineStr">
        <is>
          <t>Scopus</t>
        </is>
      </c>
      <c r="C39" s="75" t="inlineStr">
        <is>
          <t>Spatial modeling of red spider mite Oligonychus punicae (Acari: Tetranychidae) in avocado crop</t>
        </is>
      </c>
      <c r="D39" s="75" t="inlineStr">
        <is>
          <t>Lara-Vázquez F.; Ramírez-Dávila J.F.; Figueroa-Figueroa D.K.; Tapia-Rodríguez A.; González-Huerta A.</t>
        </is>
      </c>
      <c r="E39" s="75" t="n">
        <v>2023</v>
      </c>
      <c r="F39" s="75" t="inlineStr">
        <is>
          <t>10.1653/024.106.0402</t>
        </is>
      </c>
      <c r="G39" s="75" t="inlineStr">
        <is>
          <t>Araña roja</t>
        </is>
      </c>
      <c r="H39" s="75" t="inlineStr"/>
      <c r="I39" s="75" t="inlineStr">
        <is>
          <t>Article</t>
        </is>
      </c>
      <c r="J39" s="75" t="inlineStr">
        <is>
          <t>Florida Entomologist</t>
        </is>
      </c>
      <c r="K39" s="75" t="inlineStr">
        <is>
          <t>Exportado de Scopus</t>
        </is>
      </c>
      <c r="L39" s="75" t="inlineStr">
        <is>
          <t>C:\Users\plusm\Desktop\Tesis\Bibliografia\Araña roja\scopus_export_Sep 10-2026_7aa1caac-78ac-4052-b0ac-49ff0bda6f9c.csv</t>
        </is>
      </c>
    </row>
    <row r="40" ht="32" customHeight="1" s="34">
      <c r="A40" s="74" t="inlineStr">
        <is>
          <t>B0037</t>
        </is>
      </c>
      <c r="B40" s="74" t="inlineStr">
        <is>
          <t>Scopus</t>
        </is>
      </c>
      <c r="C40" s="74" t="inlineStr">
        <is>
          <t>Biosecurity practices and exploratory survey for pests and diseases of avocados in the Gharb-Loukkos region, Morocco</t>
        </is>
      </c>
      <c r="D40" s="74" t="inlineStr">
        <is>
          <t>Ouaznati S.M.; El Fakhouri K.; Belkadi B.; Douira A.; El Bouhssini M.; Touhami A.O.</t>
        </is>
      </c>
      <c r="E40" s="74" t="n">
        <v>2025</v>
      </c>
      <c r="F40" s="74" t="inlineStr">
        <is>
          <t>10.17660/ActaHortic.2025.1422.47</t>
        </is>
      </c>
      <c r="G40" s="74" t="inlineStr">
        <is>
          <t>Araña roja</t>
        </is>
      </c>
      <c r="H40" s="74" t="inlineStr"/>
      <c r="I40" s="74" t="inlineStr">
        <is>
          <t>Conference paper</t>
        </is>
      </c>
      <c r="J40" s="74" t="inlineStr">
        <is>
          <t>Acta Horticulturae</t>
        </is>
      </c>
      <c r="K40" s="74" t="inlineStr">
        <is>
          <t>Exportado de Scopus</t>
        </is>
      </c>
      <c r="L40" s="74" t="inlineStr">
        <is>
          <t>C:\Users\plusm\Desktop\Tesis\Bibliografia\Araña roja\scopus_export_Sep 10-2026_7aa1caac-78ac-4052-b0ac-49ff0bda6f9c.csv</t>
        </is>
      </c>
    </row>
    <row r="41" ht="32" customHeight="1" s="34">
      <c r="A41" s="75" t="inlineStr">
        <is>
          <t>B0038</t>
        </is>
      </c>
      <c r="B41" s="75" t="inlineStr">
        <is>
          <t>Web / DOI</t>
        </is>
      </c>
      <c r="C41" s="75" t="inlineStr">
        <is>
          <t>02 Tizon Pseudocercospora norchiensis Dai 2026</t>
        </is>
      </c>
      <c r="D41" s="75" t="inlineStr"/>
      <c r="E41" s="75" t="n"/>
      <c r="F41" s="75" t="inlineStr">
        <is>
          <t>10.1094/PDIS-03-25-0523-PDN</t>
        </is>
      </c>
      <c r="G41" s="75" t="inlineStr">
        <is>
          <t>Cercospora</t>
        </is>
      </c>
      <c r="H41" s="75" t="inlineStr">
        <is>
          <t>https://doi.org/10.1094/PDIS-03-25-0523-PDN</t>
        </is>
      </c>
      <c r="I41" s="75" t="inlineStr">
        <is>
          <t>Enlace / recurso web</t>
        </is>
      </c>
      <c r="J41" s="75" t="inlineStr">
        <is>
          <t>doi.org</t>
        </is>
      </c>
      <c r="K41" s="75" t="inlineStr">
        <is>
          <t>Enlace local</t>
        </is>
      </c>
      <c r="L41" s="75" t="inlineStr">
        <is>
          <t>C:\Users\plusm\Desktop\Tesis\Bibliografia\_Bibliografia adicional 2026\02_Tizon_Pseudocercospora_norchiensis_Dai_2026.url</t>
        </is>
      </c>
    </row>
    <row r="42" ht="32" customHeight="1" s="34">
      <c r="A42" s="74" t="inlineStr">
        <is>
          <t>B0039</t>
        </is>
      </c>
      <c r="B42" s="74" t="inlineStr">
        <is>
          <t>Web / DOI</t>
        </is>
      </c>
      <c r="C42" s="74" t="inlineStr">
        <is>
          <t>04 Cercospora van Eeden Korsten 2013</t>
        </is>
      </c>
      <c r="D42" s="74" t="inlineStr"/>
      <c r="E42" s="74" t="n"/>
      <c r="F42" s="74" t="inlineStr">
        <is>
          <t>10.2174/22115501113029990001</t>
        </is>
      </c>
      <c r="G42" s="74" t="inlineStr">
        <is>
          <t>Cercospora</t>
        </is>
      </c>
      <c r="H42" s="74" t="inlineStr">
        <is>
          <t>https://doi.org/10.2174/22115501113029990001</t>
        </is>
      </c>
      <c r="I42" s="74" t="inlineStr">
        <is>
          <t>Enlace / recurso web</t>
        </is>
      </c>
      <c r="J42" s="74" t="inlineStr">
        <is>
          <t>doi.org</t>
        </is>
      </c>
      <c r="K42" s="74" t="inlineStr">
        <is>
          <t>Enlace local</t>
        </is>
      </c>
      <c r="L42" s="74" t="inlineStr">
        <is>
          <t>C:\Users\plusm\Desktop\Tesis\Bibliografia\_Bibliografia adicional 2026\04_Cercospora_van_Eeden_Korsten_2013.url</t>
        </is>
      </c>
    </row>
    <row r="43" ht="32" customHeight="1" s="34">
      <c r="A43" s="75" t="inlineStr">
        <is>
          <t>B0040</t>
        </is>
      </c>
      <c r="B43" s="75" t="inlineStr">
        <is>
          <t>PDF local</t>
        </is>
      </c>
      <c r="C43" s="75" t="inlineStr">
        <is>
          <t>Validation of black spot [(Pseudocercospora purpurea (Cooke) Deighton] management strategies in avocado crops in northern Tolima (Colombia)</t>
        </is>
      </c>
      <c r="D43" s="75" t="inlineStr"/>
      <c r="E43" s="75" t="n">
        <v>2020</v>
      </c>
      <c r="F43" s="75" t="inlineStr">
        <is>
          <t>10.17584/rcch.2020v14i2.10169</t>
        </is>
      </c>
      <c r="G43" s="75" t="inlineStr">
        <is>
          <t>Cercospora</t>
        </is>
      </c>
      <c r="H43" s="75" t="inlineStr">
        <is>
          <t>Doi: https://doi.org/10.17584/rcch.2020v14i2.10169 REVISTA COLOMBIANA DE CIENCIAS HORTÍCOLAS - Vol. 14 - No. 2, pp. 178-191, May-August 2020 Validation of black spot [(Pseudocercospora purpurea (Cooke) Deighton] management strategies in avocado crops in northern Tolima (Colombia) Validación de estrategias de manejo de la peca [(Pseudocercospora purpurea (Cooke) Deighton] en cultivos de aguacate en el norte del Tolima (Colombia) ELEONORA RODRÍGUEZ-POLANCO 1, 5 JULIAN ALBERTO REINA-NOREÑA 2 PABLO JULIAN TAMAYO-MOLANO 3 LUZ ASTRID RODRÍGUEZ-POLANCO 4 EDGAR HERNEY VARÓN-DEVIA 1 Black spot, caused by Pseudocercospora purpurea, symptoms in avocado fruits, variety Lorena, Fresno-Tolima. Photo: E. Rodríguez-Polanco ABSTRACT Leaf spot, or black spot (BS), caused by the fungus Pseudocercospora purpurea (Cooke) Deighton, is one of the principal sanitary limitations in avocado production, particularly in the Antillean cultivars (Lorena, Choquet- te, Santana, and Semil 44) in the northern region of the Department of T olima, Colombia. From 2014 to 2017, different experiments were carried out in the field to determine when higher fruit susceptibility occurs, the effect of pruning on inoculum reduction, and the chemical molecules with a high degree of control, adjusting their chronology and frequency of application. The results will facilitate the technical, economic, and envi- ronmental implementation and validation of a chemical strategy for management of this disease. The mana- gement...</t>
        </is>
      </c>
      <c r="I43" s="75" t="inlineStr">
        <is>
          <t>Artículo PDF</t>
        </is>
      </c>
      <c r="J43" s="75" t="inlineStr">
        <is>
          <t>Leaf spot or black spot (BS) in avocado, caused by the fungus Pseudocercospora purpurea (Cooke) Deighton, is one of the main sanitary limitations for the production of avocado, particularly for the Antillean cultivars (Lorena, Choquette, Santana,...</t>
        </is>
      </c>
      <c r="K43" s="75" t="inlineStr">
        <is>
          <t>PDF descargado / leído</t>
        </is>
      </c>
      <c r="L43" s="75" t="inlineStr">
        <is>
          <t>C:\Users\plusm\Desktop\Tesis\Bibliografia\Cercospora\rcch,+03_Validation+of+black+spot+[(Pseudocercospora+purpurea+(Cooke)+Deighton]+management+strategies+in+avocado+crops+in+norther.pdf</t>
        </is>
      </c>
    </row>
    <row r="44" ht="32" customHeight="1" s="34">
      <c r="A44" s="74" t="inlineStr">
        <is>
          <t>B0041</t>
        </is>
      </c>
      <c r="B44" s="74" t="inlineStr">
        <is>
          <t>IEEE Xplore</t>
        </is>
      </c>
      <c r="C44" s="74" t="inlineStr">
        <is>
          <t>Plant Leaf Disease Detection Classification and Diagnosis Using Computer Vision and Artificial Intelligence A Review</t>
        </is>
      </c>
      <c r="D44" s="74" t="inlineStr"/>
      <c r="E44" s="74" t="n"/>
      <c r="F44" s="74" t="inlineStr"/>
      <c r="G44" s="74" t="inlineStr">
        <is>
          <t>Mosca blanca</t>
        </is>
      </c>
      <c r="H44" s="74" t="inlineStr">
        <is>
          <t>https://ieeexplore.ieee.org/document/10458943/</t>
        </is>
      </c>
      <c r="I44" s="74" t="inlineStr">
        <is>
          <t>Enlace / recurso web</t>
        </is>
      </c>
      <c r="J44" s="74" t="inlineStr">
        <is>
          <t>ieeexplore.ieee.org</t>
        </is>
      </c>
      <c r="K44" s="74" t="inlineStr">
        <is>
          <t>Enlace local</t>
        </is>
      </c>
      <c r="L44" s="74" t="inlineStr">
        <is>
          <t>C:\Users\plusm\Desktop\Tesis\Bibliografia\Mosca blanca\IEEE Xplore\Plant Leaf Disease Detection_ Classification_ and Diagnosis Using Computer Vision and Artificial Intelligence_ A Review.url</t>
        </is>
      </c>
    </row>
    <row r="45" ht="32" customHeight="1" s="34">
      <c r="A45" s="75" t="inlineStr">
        <is>
          <t>B0042</t>
        </is>
      </c>
      <c r="B45" s="75" t="inlineStr">
        <is>
          <t>Web / DOI</t>
        </is>
      </c>
      <c r="C45" s="75" t="inlineStr">
        <is>
          <t>09 Rona Scab Belizaire 2024</t>
        </is>
      </c>
      <c r="D45" s="75" t="inlineStr"/>
      <c r="E45" s="75" t="n"/>
      <c r="F45" s="75" t="inlineStr">
        <is>
          <t>10.1094/PHP-10-23-0084-DG</t>
        </is>
      </c>
      <c r="G45" s="75" t="inlineStr">
        <is>
          <t>Roña</t>
        </is>
      </c>
      <c r="H45" s="75" t="inlineStr">
        <is>
          <t>https://doi.org/10.1094/PHP-10-23-0084-DG</t>
        </is>
      </c>
      <c r="I45" s="75" t="inlineStr">
        <is>
          <t>Enlace / recurso web</t>
        </is>
      </c>
      <c r="J45" s="75" t="inlineStr">
        <is>
          <t>doi.org</t>
        </is>
      </c>
      <c r="K45" s="75" t="inlineStr">
        <is>
          <t>Enlace local</t>
        </is>
      </c>
      <c r="L45" s="75" t="inlineStr">
        <is>
          <t>C:\Users\plusm\Desktop\Tesis\Bibliografia\_Bibliografia adicional 2026\09_Rona_Scab_Belizaire_2024.url</t>
        </is>
      </c>
    </row>
    <row r="46" ht="32" customHeight="1" s="34">
      <c r="A46" s="74" t="inlineStr">
        <is>
          <t>B0043</t>
        </is>
      </c>
      <c r="B46" s="74" t="inlineStr">
        <is>
          <t>Web / DOI</t>
        </is>
      </c>
      <c r="C46" s="74" t="inlineStr">
        <is>
          <t>10 Rona Scab Chellappan 2024 PDF</t>
        </is>
      </c>
      <c r="D46" s="74" t="inlineStr"/>
      <c r="E46" s="74" t="n">
        <v>2024</v>
      </c>
      <c r="F46" s="74" t="inlineStr"/>
      <c r="G46" s="74" t="inlineStr">
        <is>
          <t>Roña</t>
        </is>
      </c>
      <c r="H46" s="74" t="inlineStr">
        <is>
          <t>https://www.aimspress.com/aimspress-data/aimsmicro/2024/4/PDF/microbiol-10-04-039.pdf</t>
        </is>
      </c>
      <c r="I46" s="74" t="inlineStr">
        <is>
          <t>Enlace / recurso web</t>
        </is>
      </c>
      <c r="J46" s="74" t="inlineStr">
        <is>
          <t>www.aimspress.com</t>
        </is>
      </c>
      <c r="K46" s="74" t="inlineStr">
        <is>
          <t>Enlace local</t>
        </is>
      </c>
      <c r="L46" s="74" t="inlineStr">
        <is>
          <t>C:\Users\plusm\Desktop\Tesis\Bibliografia\_Bibliografia adicional 2026\10_Rona_Scab_Chellappan_2024_PDF.url</t>
        </is>
      </c>
    </row>
    <row r="47" ht="32" customHeight="1" s="34">
      <c r="A47" s="75" t="inlineStr">
        <is>
          <t>B0044</t>
        </is>
      </c>
      <c r="B47" s="75" t="inlineStr">
        <is>
          <t>BibTeX</t>
        </is>
      </c>
      <c r="C47" s="75" t="inlineStr">
        <is>
          <t>Comparative secretome analysis unveils species-specific virulence factors in Elsinoe perseae, the causative agent of the scab disease of avocado (Persea americana)</t>
        </is>
      </c>
      <c r="D47" s="75" t="inlineStr">
        <is>
          <t>Chellappan, Biju Vadakkemukadiyil</t>
        </is>
      </c>
      <c r="E47" s="75" t="n">
        <v>2024</v>
      </c>
      <c r="F47" s="75" t="inlineStr">
        <is>
          <t>10.3934/microbiol.2024039</t>
        </is>
      </c>
      <c r="G47" s="75" t="inlineStr">
        <is>
          <t>Roña</t>
        </is>
      </c>
      <c r="H47" s="75" t="inlineStr"/>
      <c r="I47" s="75" t="inlineStr">
        <is>
          <t>Artículo referenciado</t>
        </is>
      </c>
      <c r="J47" s="75" t="inlineStr">
        <is>
          <t>AIMS Microbiology</t>
        </is>
      </c>
      <c r="K47" s="75" t="inlineStr">
        <is>
          <t>Entrada BibTeX</t>
        </is>
      </c>
      <c r="L47" s="75" t="inlineStr">
        <is>
          <t>C:\Users\plusm\Desktop\Tesis\Bibliografia\_Bibliografia adicional 2026\bibliografia_adicional.bib</t>
        </is>
      </c>
    </row>
    <row r="48" ht="32" customHeight="1" s="34">
      <c r="A48" s="74" t="inlineStr">
        <is>
          <t>B0045</t>
        </is>
      </c>
      <c r="B48" s="74" t="inlineStr">
        <is>
          <t>Scopus</t>
        </is>
      </c>
      <c r="C48" s="74" t="inlineStr">
        <is>
          <t>Real-time hass avocado ripeness detection using close-range UAV imagery and YOLO-based deep learning</t>
        </is>
      </c>
      <c r="D48" s="74" t="inlineStr"/>
      <c r="E48" s="74" t="n"/>
      <c r="F48" s="74" t="inlineStr"/>
      <c r="G48" s="74" t="inlineStr">
        <is>
          <t>Sin clasificar</t>
        </is>
      </c>
      <c r="H48" s="74" t="inlineStr">
        <is>
          <t>Real-time hass avocado ripeness detection using close-range UAV imagery and YOLO-based deep learning Verner Leonidas Tudela Taco * , Wilson Emerson Quispe Accostupa, Erasmo Sulla Espinoza Universidad Nacional de San Agustín de Arequipa, Peru ARTICLE INFO Keywords: Computer vision Deep learning YOLO UAV monitoring Avocado ripeness classification Precision agriculture ABSTRACT Rapid and accurate assessment of Hass avocado ripeness is essential for improving harvest planning, optimizing picking time, increasing productivity, and reducing postharvest losses. This study presents a real-time system for Hass avocado ripeness detection using close-range UAV imagery and YOLO-based deep learning models. A UAV equipped with a camera captured field images, which were transmitted in real time to a processing station through SCRCPY for fruit detection and ripeness classification. The proposed approach consists of two sequential stages. First, a YOLOv8 object detection model was trained using a dataset of 340 manually annotated images generated through real-world adaptation and labeled in Roboflow. The detector achieved a precision of 0.7951, a recall of 0.7849, an mAP@0.5 of 0.8388, and an mAP@0.5:0.95 of 0.6308, demonstrating reliable fruit locali - zation under field conditions. Second, a YOLOv8 classification model was trained on a dataset of 20,231 cropped fruit images derived from an initial collection of 14,710 images categorized into five ripeness stages (unripe, midripe, ripe, f...</t>
        </is>
      </c>
      <c r="I48" s="74" t="inlineStr">
        <is>
          <t>Artículo PDF</t>
        </is>
      </c>
      <c r="J48" s="74" t="inlineStr">
        <is>
          <t>Smart Agricultural Technology, 15 (2026) 102547. doi:10.1016/j.atech.2026.102547</t>
        </is>
      </c>
      <c r="K48" s="74" t="inlineStr">
        <is>
          <t>PDF descargado / leído</t>
        </is>
      </c>
      <c r="L48" s="74" t="inlineStr">
        <is>
          <t>C:\Users\plusm\Desktop\Tesis\Bibliografia\Real-time hass avocado ripeness detection using close-range UAV imagery and YOLO-based deep learning.pdf</t>
        </is>
      </c>
    </row>
    <row r="49" ht="32" customHeight="1" s="34">
      <c r="A49" s="75" t="inlineStr">
        <is>
          <t>B0046</t>
        </is>
      </c>
      <c r="B49" s="75" t="inlineStr">
        <is>
          <t>Web / DOI</t>
        </is>
      </c>
      <c r="C49" s="75" t="inlineStr">
        <is>
          <t>03 Tizon Neopestalotiopsis Darapanit 2021</t>
        </is>
      </c>
      <c r="D49" s="75" t="inlineStr"/>
      <c r="E49" s="75" t="n"/>
      <c r="F49" s="75" t="inlineStr"/>
      <c r="G49" s="75" t="inlineStr">
        <is>
          <t>Tizón de la hoja</t>
        </is>
      </c>
      <c r="H49" s="75" t="inlineStr">
        <is>
          <t>https://www.nature.com/articles/s41598-021-02113-5</t>
        </is>
      </c>
      <c r="I49" s="75" t="inlineStr">
        <is>
          <t>Enlace / recurso web</t>
        </is>
      </c>
      <c r="J49" s="75" t="inlineStr">
        <is>
          <t>www.nature.com</t>
        </is>
      </c>
      <c r="K49" s="75" t="inlineStr">
        <is>
          <t>Enlace local</t>
        </is>
      </c>
      <c r="L49" s="75" t="inlineStr">
        <is>
          <t>C:\Users\plusm\Desktop\Tesis\Bibliografia\_Bibliografia adicional 2026\03_Tizon_Neopestalotiopsis_Darapanit_2021.url</t>
        </is>
      </c>
    </row>
    <row r="50" ht="32" customHeight="1" s="34">
      <c r="A50" s="74" t="inlineStr">
        <is>
          <t>B0047</t>
        </is>
      </c>
      <c r="B50" s="74" t="inlineStr">
        <is>
          <t>BibTeX</t>
        </is>
      </c>
      <c r="C50" s="74" t="inlineStr">
        <is>
          <t>Identification, pathogenicity and effects of plant extracts on Neopestalotiopsis and Pseudopestalotiopsis causing fruit diseases</t>
        </is>
      </c>
      <c r="D50" s="74" t="inlineStr">
        <is>
          <t>Darapanit, Angwara and Boonyuen, Nattawut and Leesutthiphonchai, Wiphawee and Nuankaew, Salilaporn and Piasai, Onuma</t>
        </is>
      </c>
      <c r="E50" s="74" t="n">
        <v>2021</v>
      </c>
      <c r="F50" s="74" t="inlineStr">
        <is>
          <t>10.1038/s41598-021-02113-5</t>
        </is>
      </c>
      <c r="G50" s="74" t="inlineStr">
        <is>
          <t>Tizón de la hoja</t>
        </is>
      </c>
      <c r="H50" s="74" t="inlineStr"/>
      <c r="I50" s="74" t="inlineStr">
        <is>
          <t>Artículo referenciado</t>
        </is>
      </c>
      <c r="J50" s="74" t="inlineStr">
        <is>
          <t>Scientific Reports</t>
        </is>
      </c>
      <c r="K50" s="74" t="inlineStr">
        <is>
          <t>Entrada BibTeX</t>
        </is>
      </c>
      <c r="L50" s="74" t="inlineStr">
        <is>
          <t>C:\Users\plusm\Desktop\Tesis\Bibliografia\_Bibliografia adicional 2026\bibliografia_adicional.bib</t>
        </is>
      </c>
    </row>
    <row r="51" ht="32" customHeight="1" s="34">
      <c r="A51" s="75" t="inlineStr">
        <is>
          <t>B0048</t>
        </is>
      </c>
      <c r="B51" s="75" t="inlineStr">
        <is>
          <t>PDF local</t>
        </is>
      </c>
      <c r="C51" s="75" t="inlineStr">
        <is>
          <t>Colletotrichum fructicola Causes Necrotic Leaf Lesions in Avocado (Persea americana) in Amazonas, Peru: First Record and In Vitro Control Using Piper Essential Oils</t>
        </is>
      </c>
      <c r="D51" s="75" t="inlineStr"/>
      <c r="E51" s="75" t="n">
        <v>2025</v>
      </c>
      <c r="F51" s="75" t="inlineStr"/>
      <c r="G51" s="75" t="inlineStr">
        <is>
          <t>Tizón de la hoja</t>
        </is>
      </c>
      <c r="H51" s="75" t="inlineStr">
        <is>
          <t>Academic Editor: Adriano Sofo Received: 5 December 2025 Revised: 28 January 2026 Accepted: 3 February 2026 Published: 9 February 2026 Copyright: © 2026 by the authors. Licensee MDPI, Basel, Switzerland. This article is an open access article distributed under the terms and conditions of the Creative Commons Attribution (CC BY) license. Article Colletotrichum fructicola Causes Necrotic Leaf Lesions in Avocado (Persea americana) in Amazonas, Peru: First Record and In Vitro Control Using Piper Essential Oils Marly Guelac-Santillan 1,2 , Jherson Rojas-Vargas 1, Elmer Chávez-Chacón 1, Eryka Gaslac-Zumaeta 1 , Manuel Oliva-Cruz 1,3, * and Angel F. Huaman-Pilco 1,2, * 1 Grupo de Investigación en Patología Intracelular de Plantas, Instituto de Investigación para el Desarrollo Sustentable de Ceja de Selva, Universidad Nacional Toribio Rodríguez de Mendoza de Amazonas, Chachapoyas 01001, Amazonas, Peru; marly.guelac@untrm.edu.pe (M.G.-S.); rojasvargasjherson6@gmail.com (J.R.-V .); 7455977721@untrm.edu.pe (E.C.-C.); eryka.gaslac@untrm.edu.pe (E.G.-Z.) 2 Grupo de Investigación en Raíces y Tuberosas (GIRT), Centro de Investigación en Germoplasma Vegetal y Mejoramiento Genético de Plantas (CIGEMP), Universidad Nacional Toribio Rodríguez de Mendoza de Amazonas, Chachapoyas 01001, Amazonas, Peru 3 Facultad de Ingeniería y Ciencias Agrarias, Universidad Nacional Toribio Rodríguez de Mendoza de Amazonas, Chachapoyas 01001, Amazonas, Peru * Correspondence: manuel.oliva@untrm.edu.pe (M.O.-C.)...</t>
        </is>
      </c>
      <c r="I51" s="75" t="inlineStr">
        <is>
          <t>Artículo PDF</t>
        </is>
      </c>
      <c r="J51" s="75" t="inlineStr">
        <is>
          <t>Anthracnose is one of the most destructive diseases of avocado worldwide; however, foliar infections remain poorly documented in Peru. We investigated the etiology of necrotic leaf lesions observed in avocado plantations in Amazonas and assessed t...</t>
        </is>
      </c>
      <c r="K51" s="75" t="inlineStr">
        <is>
          <t>PDF descargado / leído</t>
        </is>
      </c>
      <c r="L51" s="75" t="inlineStr">
        <is>
          <t>C:\Users\plusm\Desktop\Tesis\Bibliografia\Tizón de la hoja\ijpb-17-00010.pdf</t>
        </is>
      </c>
    </row>
    <row r="52" ht="24"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57"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16.8" customHeight="1" s="34"/>
    <row r="591" ht="51" customHeight="1" s="34"/>
  </sheetData>
  <autoFilter ref="A3:L51"/>
  <mergeCells count="2">
    <mergeCell ref="A2:L2"/>
    <mergeCell ref="A1:L1"/>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51"/>
  <sheetViews>
    <sheetView showGridLines="0" topLeftCell="A1" zoomScale="81" zoomScaleNormal="81" workbookViewId="0">
      <selection activeCell="A1" sqref="A1"/>
    </sheetView>
  </sheetViews>
  <sheetFormatPr baseColWidth="10" defaultColWidth="8.88671875" defaultRowHeight="14.4"/>
  <cols>
    <col width="12" customWidth="1" style="34" min="1" max="1"/>
    <col width="18" customWidth="1" style="34" min="2" max="2"/>
    <col width="54" customWidth="1" style="34" min="3" max="3"/>
    <col width="24" customWidth="1" style="34" min="4" max="4"/>
    <col width="18" customWidth="1" style="34" min="5" max="5"/>
    <col width="44" customWidth="1" style="34" min="6" max="6"/>
    <col width="14" customWidth="1" style="34" min="7" max="7"/>
    <col width="22" customWidth="1" style="34" min="8" max="8"/>
    <col width="16" customWidth="1" style="34" min="9" max="9"/>
    <col width="10" customWidth="1" style="34" min="10" max="10"/>
  </cols>
  <sheetData>
    <row r="1" ht="24" customHeight="1" s="34">
      <c r="A1" s="71" t="inlineStr">
        <is>
          <t>Duplicados_y_exclusion</t>
        </is>
      </c>
    </row>
    <row r="2" ht="24" customHeight="1" s="34">
      <c r="A2" s="72" t="inlineStr">
        <is>
          <t>Primer filtro: marca y descarta duplicados (mismo DOI/título) y exclusiones (revisiones/surveys). Conserva un único registro por estudio. Cada descarte lleva su motivo.</t>
        </is>
      </c>
    </row>
    <row r="3" ht="24" customHeight="1" s="34">
      <c r="A3" s="73" t="inlineStr">
        <is>
          <t>ID original</t>
        </is>
      </c>
      <c r="B3" s="73" t="inlineStr">
        <is>
          <t>Base de datos</t>
        </is>
      </c>
      <c r="C3" s="73" t="inlineStr">
        <is>
          <t>Título completo</t>
        </is>
      </c>
      <c r="D3" s="73" t="inlineStr">
        <is>
          <t>DOI</t>
        </is>
      </c>
      <c r="E3" s="73" t="inlineStr">
        <is>
          <t>Tipo de exclusión</t>
        </is>
      </c>
      <c r="F3" s="73" t="inlineStr">
        <is>
          <t>Motivo de exclusión</t>
        </is>
      </c>
      <c r="G3" s="73" t="inlineStr">
        <is>
          <t>Duplicado</t>
        </is>
      </c>
      <c r="H3" s="73" t="inlineStr">
        <is>
          <t>Tipo de estudio detectado</t>
        </is>
      </c>
      <c r="I3" s="73" t="inlineStr">
        <is>
          <t>Decisión</t>
        </is>
      </c>
      <c r="J3" s="73" t="inlineStr">
        <is>
          <t>Columna 10</t>
        </is>
      </c>
    </row>
    <row r="4" ht="32" customHeight="1" s="34">
      <c r="A4" s="74" t="inlineStr">
        <is>
          <t>B0001</t>
        </is>
      </c>
      <c r="B4" s="74" t="inlineStr">
        <is>
          <t>Web / DOI</t>
        </is>
      </c>
      <c r="C4" s="74" t="inlineStr">
        <is>
          <t>07 Agallas Trioza anceps Torres Gurrola 2011 UNAM</t>
        </is>
      </c>
      <c r="D4" s="74" t="inlineStr"/>
      <c r="E4" s="74" t="inlineStr">
        <is>
          <t>Año no determinado</t>
        </is>
      </c>
      <c r="F4" s="74" t="inlineStr">
        <is>
          <t>No se pudo determinar el año con los metadatos locales.</t>
        </is>
      </c>
      <c r="G4" s="74" t="inlineStr">
        <is>
          <t>No</t>
        </is>
      </c>
      <c r="H4" s="74" t="inlineStr">
        <is>
          <t>Enlace / recurso web</t>
        </is>
      </c>
      <c r="I4" s="74" t="inlineStr">
        <is>
          <t>Revisar</t>
        </is>
      </c>
      <c r="J4" s="74" t="inlineStr"/>
    </row>
    <row r="5" ht="32" customHeight="1" s="34">
      <c r="A5" s="75" t="inlineStr">
        <is>
          <t>B0002</t>
        </is>
      </c>
      <c r="B5" s="75" t="inlineStr">
        <is>
          <t>Web / DOI</t>
        </is>
      </c>
      <c r="C5" s="75" t="inlineStr">
        <is>
          <t>08 Agallas Trioza anceps Rincon Hernandez 2008</t>
        </is>
      </c>
      <c r="D5" s="75" t="inlineStr"/>
      <c r="E5" s="75" t="inlineStr">
        <is>
          <t>Año no determinado</t>
        </is>
      </c>
      <c r="F5" s="75" t="inlineStr">
        <is>
          <t>No se pudo determinar el año con los metadatos locales.</t>
        </is>
      </c>
      <c r="G5" s="75" t="inlineStr">
        <is>
          <t>No</t>
        </is>
      </c>
      <c r="H5" s="75" t="inlineStr">
        <is>
          <t>Enlace / recurso web</t>
        </is>
      </c>
      <c r="I5" s="75" t="inlineStr">
        <is>
          <t>Revisar</t>
        </is>
      </c>
      <c r="J5" s="75" t="inlineStr"/>
    </row>
    <row r="6" ht="32" customHeight="1" s="34">
      <c r="A6" s="74" t="inlineStr">
        <is>
          <t>B0003</t>
        </is>
      </c>
      <c r="B6" s="74" t="inlineStr">
        <is>
          <t>BibTeX</t>
        </is>
      </c>
      <c r="C6" s="74" t="inlineStr">
        <is>
          <t>Relationship between the phytochemical diversity in creole avocado (Persea americana var. drymifolia) leaves and the incidence of foliar gall psyllid (Trioza anceps)</t>
        </is>
      </c>
      <c r="D6" s="74" t="inlineStr"/>
      <c r="E6" s="74" t="inlineStr">
        <is>
          <t>Fuera de rango</t>
        </is>
      </c>
      <c r="F6" s="74" t="inlineStr">
        <is>
          <t>Año fuera del filtro 2021-2026.</t>
        </is>
      </c>
      <c r="G6" s="74" t="inlineStr">
        <is>
          <t>No</t>
        </is>
      </c>
      <c r="H6" s="74" t="inlineStr">
        <is>
          <t>Artículo referenciado</t>
        </is>
      </c>
      <c r="I6" s="74" t="inlineStr">
        <is>
          <t>Excluir</t>
        </is>
      </c>
      <c r="J6" s="74" t="inlineStr"/>
    </row>
    <row r="7" ht="32" customHeight="1" s="34">
      <c r="A7" s="75" t="inlineStr">
        <is>
          <t>B0004</t>
        </is>
      </c>
      <c r="B7" s="75" t="inlineStr">
        <is>
          <t>BibTeX</t>
        </is>
      </c>
      <c r="C7" s="75" t="inlineStr">
        <is>
          <t>The foliar chemical profile of criollo avocado, Persea americana var. drymifolia (Lauraceae), and its relationship with the incidence of a gall-forming insect, Trioza anceps (Triozidae)</t>
        </is>
      </c>
      <c r="D7" s="75" t="inlineStr">
        <is>
          <t>10.1016/j.bse.2011.01.011</t>
        </is>
      </c>
      <c r="E7" s="75" t="inlineStr">
        <is>
          <t>Fuera de rango</t>
        </is>
      </c>
      <c r="F7" s="75" t="inlineStr">
        <is>
          <t>Año fuera del filtro 2021-2026.</t>
        </is>
      </c>
      <c r="G7" s="75" t="inlineStr">
        <is>
          <t>No</t>
        </is>
      </c>
      <c r="H7" s="75" t="inlineStr">
        <is>
          <t>Artículo referenciado</t>
        </is>
      </c>
      <c r="I7" s="75" t="inlineStr">
        <is>
          <t>Excluir</t>
        </is>
      </c>
      <c r="J7" s="75" t="inlineStr"/>
    </row>
    <row r="8" ht="32" customHeight="1" s="34">
      <c r="A8" s="74" t="inlineStr">
        <is>
          <t>B0005</t>
        </is>
      </c>
      <c r="B8" s="74" t="inlineStr">
        <is>
          <t>PDF local</t>
        </is>
      </c>
      <c r="C8" s="74" t="inlineStr">
        <is>
          <t>Silica-based nanomaterials for the control of Trioza anceps: Laboratory bioassays and preliminary field observations</t>
        </is>
      </c>
      <c r="D8" s="74" t="inlineStr">
        <is>
          <t>10.1007/s10971-026-07179-z</t>
        </is>
      </c>
      <c r="E8" s="74" t="inlineStr"/>
      <c r="F8" s="74" t="inlineStr"/>
      <c r="G8" s="74" t="inlineStr">
        <is>
          <t>No</t>
        </is>
      </c>
      <c r="H8" s="74" t="inlineStr">
        <is>
          <t>Artículo PDF</t>
        </is>
      </c>
      <c r="I8" s="74" t="inlineStr">
        <is>
          <t>Conservar</t>
        </is>
      </c>
      <c r="J8" s="74" t="inlineStr"/>
    </row>
    <row r="9" ht="32" customHeight="1" s="34">
      <c r="A9" s="75" t="inlineStr">
        <is>
          <t>B0006</t>
        </is>
      </c>
      <c r="B9" s="75" t="inlineStr">
        <is>
          <t>IEEE Xplore</t>
        </is>
      </c>
      <c r="C9" s="75" t="inlineStr">
        <is>
          <t>Unified Approach for Avocado Leaf Disease Classification CNN-SVM Fusion</t>
        </is>
      </c>
      <c r="D9" s="75" t="inlineStr"/>
      <c r="E9" s="75" t="inlineStr">
        <is>
          <t>Año no determinado</t>
        </is>
      </c>
      <c r="F9" s="75" t="inlineStr">
        <is>
          <t>No se pudo determinar el año con los metadatos locales.</t>
        </is>
      </c>
      <c r="G9" s="75" t="inlineStr">
        <is>
          <t>No</t>
        </is>
      </c>
      <c r="H9" s="75" t="inlineStr">
        <is>
          <t>Enlace / recurso web</t>
        </is>
      </c>
      <c r="I9" s="75" t="inlineStr">
        <is>
          <t>Revisar</t>
        </is>
      </c>
      <c r="J9" s="75" t="inlineStr"/>
    </row>
    <row r="10" ht="32" customHeight="1" s="34">
      <c r="A10" s="74" t="inlineStr">
        <is>
          <t>B0007</t>
        </is>
      </c>
      <c r="B10" s="74" t="inlineStr">
        <is>
          <t>Web / DOI</t>
        </is>
      </c>
      <c r="C10" s="74" t="inlineStr">
        <is>
          <t>01 Antracnosis Uysal Kurt 2020</t>
        </is>
      </c>
      <c r="D10" s="74" t="inlineStr">
        <is>
          <t>10.1016/j.cropro.2020.105145</t>
        </is>
      </c>
      <c r="E10" s="74" t="inlineStr">
        <is>
          <t>Fuera de rango</t>
        </is>
      </c>
      <c r="F10" s="74" t="inlineStr">
        <is>
          <t>Año fuera del filtro 2021-2026.</t>
        </is>
      </c>
      <c r="G10" s="74" t="inlineStr">
        <is>
          <t>No</t>
        </is>
      </c>
      <c r="H10" s="74" t="inlineStr">
        <is>
          <t>Enlace / recurso web</t>
        </is>
      </c>
      <c r="I10" s="74" t="inlineStr">
        <is>
          <t>Excluir</t>
        </is>
      </c>
      <c r="J10" s="74" t="inlineStr"/>
    </row>
    <row r="11" ht="32" customHeight="1" s="34">
      <c r="A11" s="75" t="inlineStr">
        <is>
          <t>B0008</t>
        </is>
      </c>
      <c r="B11" s="75" t="inlineStr">
        <is>
          <t>Scopus</t>
        </is>
      </c>
      <c r="C11" s="75" t="inlineStr">
        <is>
          <t>Identification of pathogen species of avocado leaf anthracnose in Chongzuo, Guangxi; [广西崇左油梨叶部炭疽病病原菌分离与鉴定]</t>
        </is>
      </c>
      <c r="D11" s="75" t="inlineStr">
        <is>
          <t>10.13926/j.cnki.apps.000812</t>
        </is>
      </c>
      <c r="E11" s="75" t="inlineStr"/>
      <c r="F11" s="75" t="inlineStr"/>
      <c r="G11" s="75" t="inlineStr">
        <is>
          <t>No</t>
        </is>
      </c>
      <c r="H11" s="75" t="inlineStr">
        <is>
          <t>Article</t>
        </is>
      </c>
      <c r="I11" s="75" t="inlineStr">
        <is>
          <t>Conservar</t>
        </is>
      </c>
      <c r="J11" s="75" t="inlineStr"/>
    </row>
    <row r="12" ht="32" customHeight="1" s="34">
      <c r="A12" s="74" t="inlineStr">
        <is>
          <t>B0009</t>
        </is>
      </c>
      <c r="B12" s="74" t="inlineStr">
        <is>
          <t>IEEE Xplore</t>
        </is>
      </c>
      <c r="C12" s="74" t="inlineStr">
        <is>
          <t>Unified Approach for Avocado Leaf Disease Classification: CNN-SVM Fusion</t>
        </is>
      </c>
      <c r="D12" s="74" t="inlineStr">
        <is>
          <t>10.1109/I2CT61223.2024.10544074</t>
        </is>
      </c>
      <c r="E12" s="74" t="inlineStr"/>
      <c r="F12" s="74" t="inlineStr"/>
      <c r="G12" s="74" t="inlineStr">
        <is>
          <t>No</t>
        </is>
      </c>
      <c r="H12" s="74" t="inlineStr">
        <is>
          <t>Ficha bibliográfica</t>
        </is>
      </c>
      <c r="I12" s="74" t="inlineStr">
        <is>
          <t>Conservar</t>
        </is>
      </c>
      <c r="J12" s="74" t="inlineStr"/>
    </row>
    <row r="13" ht="32" customHeight="1" s="34">
      <c r="A13" s="75" t="inlineStr">
        <is>
          <t>B0010</t>
        </is>
      </c>
      <c r="B13" s="75" t="inlineStr">
        <is>
          <t>Scopus</t>
        </is>
      </c>
      <c r="C13" s="75" t="inlineStr">
        <is>
          <t>Real-Time Avocado Plant Health and Disease Detection Using UAV Imagery with Faster R-CNN Algorithm</t>
        </is>
      </c>
      <c r="D13" s="75" t="inlineStr">
        <is>
          <t>10.1109/ICOECA66273.2025.00181</t>
        </is>
      </c>
      <c r="E13" s="75" t="inlineStr"/>
      <c r="F13" s="75" t="inlineStr"/>
      <c r="G13" s="75" t="inlineStr">
        <is>
          <t>No</t>
        </is>
      </c>
      <c r="H13" s="75" t="inlineStr">
        <is>
          <t>Conference paper</t>
        </is>
      </c>
      <c r="I13" s="75" t="inlineStr">
        <is>
          <t>Conservar</t>
        </is>
      </c>
      <c r="J13" s="75" t="inlineStr"/>
    </row>
    <row r="14" ht="32" customHeight="1" s="34">
      <c r="A14" s="74" t="inlineStr">
        <is>
          <t>B0011</t>
        </is>
      </c>
      <c r="B14" s="74" t="inlineStr">
        <is>
          <t>Springer</t>
        </is>
      </c>
      <c r="C14" s="74" t="inlineStr">
        <is>
          <t>Burkholderia contaminans siderophore‑rich supernatants suppress post‑harvest anthracnose in avocado fruits Coyolxauhqui Barrera‑Galicia1 · Sergio A</t>
        </is>
      </c>
      <c r="D14" s="74" t="inlineStr">
        <is>
          <t>10.1007/s00253-026-13715-2</t>
        </is>
      </c>
      <c r="E14" s="74" t="inlineStr"/>
      <c r="F14" s="74" t="inlineStr"/>
      <c r="G14" s="74" t="inlineStr">
        <is>
          <t>No</t>
        </is>
      </c>
      <c r="H14" s="74" t="inlineStr">
        <is>
          <t>Artículo PDF</t>
        </is>
      </c>
      <c r="I14" s="74" t="inlineStr">
        <is>
          <t>Conservar</t>
        </is>
      </c>
      <c r="J14" s="74" t="inlineStr"/>
    </row>
    <row r="15" ht="32" customHeight="1" s="34">
      <c r="A15" s="75" t="inlineStr">
        <is>
          <t>B0012</t>
        </is>
      </c>
      <c r="B15" s="75" t="inlineStr">
        <is>
          <t>Scopus</t>
        </is>
      </c>
      <c r="C15" s="75" t="inlineStr">
        <is>
          <t>Identification and Pathogenicity of Botryosphaeriaceae, Colletotrichum, and Phytophthora Species Associated with Avocado Diseases in Italy</t>
        </is>
      </c>
      <c r="D15" s="75" t="inlineStr">
        <is>
          <t>10.3390/agriculture16101035</t>
        </is>
      </c>
      <c r="E15" s="75" t="inlineStr"/>
      <c r="F15" s="75" t="inlineStr"/>
      <c r="G15" s="75" t="inlineStr">
        <is>
          <t>No</t>
        </is>
      </c>
      <c r="H15" s="75" t="inlineStr">
        <is>
          <t>Article</t>
        </is>
      </c>
      <c r="I15" s="75" t="inlineStr">
        <is>
          <t>Conservar</t>
        </is>
      </c>
      <c r="J15" s="75" t="inlineStr"/>
    </row>
    <row r="16" ht="32" customHeight="1" s="34">
      <c r="A16" s="74" t="inlineStr">
        <is>
          <t>B0013</t>
        </is>
      </c>
      <c r="B16" s="74" t="inlineStr">
        <is>
          <t>PDF local</t>
        </is>
      </c>
      <c r="C16" s="74" t="inlineStr">
        <is>
          <t>s41598-026-50025-z</t>
        </is>
      </c>
      <c r="D16" s="74" t="inlineStr">
        <is>
          <t>10.1038/s41598-026-50025-z</t>
        </is>
      </c>
      <c r="E16" s="74" t="inlineStr"/>
      <c r="F16" s="74" t="inlineStr"/>
      <c r="G16" s="74" t="inlineStr">
        <is>
          <t>No</t>
        </is>
      </c>
      <c r="H16" s="74" t="inlineStr">
        <is>
          <t>Artículo PDF</t>
        </is>
      </c>
      <c r="I16" s="74" t="inlineStr">
        <is>
          <t>Conservar</t>
        </is>
      </c>
      <c r="J16" s="74" t="inlineStr"/>
    </row>
    <row r="17" ht="32" customHeight="1" s="34">
      <c r="A17" s="75" t="inlineStr">
        <is>
          <t>B0014</t>
        </is>
      </c>
      <c r="B17" s="75" t="inlineStr">
        <is>
          <t>PDF local</t>
        </is>
      </c>
      <c r="C17" s="75" t="inlineStr">
        <is>
          <t>Spatial Mapping of Avocado Anthracnose Severity Using UAV-Derived Vegetation Indices in Amazonas, Peru</t>
        </is>
      </c>
      <c r="D17" s="75" t="inlineStr"/>
      <c r="E17" s="75" t="inlineStr"/>
      <c r="F17" s="75" t="inlineStr"/>
      <c r="G17" s="75" t="inlineStr">
        <is>
          <t>No</t>
        </is>
      </c>
      <c r="H17" s="75" t="inlineStr">
        <is>
          <t>Artículo PDF</t>
        </is>
      </c>
      <c r="I17" s="75" t="inlineStr">
        <is>
          <t>Conservar</t>
        </is>
      </c>
      <c r="J17" s="75" t="inlineStr"/>
    </row>
    <row r="18" ht="32" customHeight="1" s="34">
      <c r="A18" s="74" t="inlineStr">
        <is>
          <t>B0015</t>
        </is>
      </c>
      <c r="B18" s="74" t="inlineStr">
        <is>
          <t>Scopus</t>
        </is>
      </c>
      <c r="C18" s="74" t="inlineStr">
        <is>
          <t>Spatial Mapping of Avocado Anthracnose Severity Using UAV-Derived Vegetation Indices in Amazonas, Peru</t>
        </is>
      </c>
      <c r="D18" s="74" t="inlineStr">
        <is>
          <t>10.3390/agriengineering8080340</t>
        </is>
      </c>
      <c r="E18" s="74" t="inlineStr"/>
      <c r="F18" s="74" t="inlineStr"/>
      <c r="G18" s="74" t="inlineStr">
        <is>
          <t>No</t>
        </is>
      </c>
      <c r="H18" s="74" t="inlineStr">
        <is>
          <t>Article</t>
        </is>
      </c>
      <c r="I18" s="74" t="inlineStr">
        <is>
          <t>Conservar</t>
        </is>
      </c>
      <c r="J18" s="74" t="inlineStr"/>
    </row>
    <row r="19" ht="32" customHeight="1" s="34">
      <c r="A19" s="75" t="inlineStr">
        <is>
          <t>B0016</t>
        </is>
      </c>
      <c r="B19" s="75" t="inlineStr">
        <is>
          <t>IEEE Xplore</t>
        </is>
      </c>
      <c r="C19" s="75" t="inlineStr">
        <is>
          <t>CNN-Based Plant Leaf Disease Identification and Classification for Sustainable Agriculture</t>
        </is>
      </c>
      <c r="D19" s="75" t="inlineStr"/>
      <c r="E19" s="75" t="inlineStr">
        <is>
          <t>Año no determinado</t>
        </is>
      </c>
      <c r="F19" s="75" t="inlineStr">
        <is>
          <t>No se pudo determinar el año con los metadatos locales.</t>
        </is>
      </c>
      <c r="G19" s="75" t="inlineStr">
        <is>
          <t>No</t>
        </is>
      </c>
      <c r="H19" s="75" t="inlineStr">
        <is>
          <t>Enlace / recurso web</t>
        </is>
      </c>
      <c r="I19" s="75" t="inlineStr">
        <is>
          <t>Revisar</t>
        </is>
      </c>
      <c r="J19" s="75" t="inlineStr"/>
    </row>
    <row r="20" ht="32" customHeight="1" s="34">
      <c r="A20" s="74" t="inlineStr">
        <is>
          <t>B0017</t>
        </is>
      </c>
      <c r="B20" s="74" t="inlineStr">
        <is>
          <t>IEEE Xplore</t>
        </is>
      </c>
      <c r="C20" s="74" t="inlineStr">
        <is>
          <t>Crop Disease Prediction System</t>
        </is>
      </c>
      <c r="D20" s="74" t="inlineStr"/>
      <c r="E20" s="74" t="inlineStr">
        <is>
          <t>Año no determinado</t>
        </is>
      </c>
      <c r="F20" s="74" t="inlineStr">
        <is>
          <t>No se pudo determinar el año con los metadatos locales.</t>
        </is>
      </c>
      <c r="G20" s="74" t="inlineStr">
        <is>
          <t>No</t>
        </is>
      </c>
      <c r="H20" s="74" t="inlineStr">
        <is>
          <t>Enlace / recurso web</t>
        </is>
      </c>
      <c r="I20" s="74" t="inlineStr">
        <is>
          <t>Revisar</t>
        </is>
      </c>
      <c r="J20" s="74" t="inlineStr"/>
    </row>
    <row r="21" ht="32" customHeight="1" s="34">
      <c r="A21" s="75" t="inlineStr">
        <is>
          <t>B0018</t>
        </is>
      </c>
      <c r="B21" s="75" t="inlineStr">
        <is>
          <t>IEEE Xplore</t>
        </is>
      </c>
      <c r="C21" s="75" t="inlineStr">
        <is>
          <t>Image-Based Plant Leaf Disease Detection using Deep Learning</t>
        </is>
      </c>
      <c r="D21" s="75" t="inlineStr"/>
      <c r="E21" s="75" t="inlineStr">
        <is>
          <t>Año no determinado</t>
        </is>
      </c>
      <c r="F21" s="75" t="inlineStr">
        <is>
          <t>No se pudo determinar el año con los metadatos locales.</t>
        </is>
      </c>
      <c r="G21" s="75" t="inlineStr">
        <is>
          <t>No</t>
        </is>
      </c>
      <c r="H21" s="75" t="inlineStr">
        <is>
          <t>Enlace / recurso web</t>
        </is>
      </c>
      <c r="I21" s="75" t="inlineStr">
        <is>
          <t>Revisar</t>
        </is>
      </c>
      <c r="J21" s="75" t="inlineStr"/>
    </row>
    <row r="22" ht="32" customHeight="1" s="34">
      <c r="A22" s="74" t="inlineStr">
        <is>
          <t>B0019</t>
        </is>
      </c>
      <c r="B22" s="74" t="inlineStr">
        <is>
          <t>IEEE Xplore</t>
        </is>
      </c>
      <c r="C22" s="74" t="inlineStr">
        <is>
          <t>Plant Disease Detection Using Deep Learning</t>
        </is>
      </c>
      <c r="D22" s="74" t="inlineStr"/>
      <c r="E22" s="74" t="inlineStr">
        <is>
          <t>Año no determinado</t>
        </is>
      </c>
      <c r="F22" s="74" t="inlineStr">
        <is>
          <t>No se pudo determinar el año con los metadatos locales.</t>
        </is>
      </c>
      <c r="G22" s="74" t="inlineStr">
        <is>
          <t>No</t>
        </is>
      </c>
      <c r="H22" s="74" t="inlineStr">
        <is>
          <t>Enlace / recurso web</t>
        </is>
      </c>
      <c r="I22" s="74" t="inlineStr">
        <is>
          <t>Revisar</t>
        </is>
      </c>
      <c r="J22" s="74" t="inlineStr"/>
    </row>
    <row r="23" ht="32" customHeight="1" s="34">
      <c r="A23" s="75" t="inlineStr">
        <is>
          <t>B0020</t>
        </is>
      </c>
      <c r="B23" s="75" t="inlineStr">
        <is>
          <t>IEEE Xplore</t>
        </is>
      </c>
      <c r="C23" s="75" t="inlineStr">
        <is>
          <t>Real-Time Detection and Identification of Plant Leaf Diseases using YOLOv4-tiny</t>
        </is>
      </c>
      <c r="D23" s="75" t="inlineStr"/>
      <c r="E23" s="75" t="inlineStr">
        <is>
          <t>Año no determinado</t>
        </is>
      </c>
      <c r="F23" s="75" t="inlineStr">
        <is>
          <t>No se pudo determinar el año con los metadatos locales.</t>
        </is>
      </c>
      <c r="G23" s="75" t="inlineStr">
        <is>
          <t>No</t>
        </is>
      </c>
      <c r="H23" s="75" t="inlineStr">
        <is>
          <t>Enlace / recurso web</t>
        </is>
      </c>
      <c r="I23" s="75" t="inlineStr">
        <is>
          <t>Revisar</t>
        </is>
      </c>
      <c r="J23" s="75" t="inlineStr"/>
    </row>
    <row r="24" ht="32" customHeight="1" s="34">
      <c r="A24" s="74" t="inlineStr">
        <is>
          <t>B0021</t>
        </is>
      </c>
      <c r="B24" s="74" t="inlineStr">
        <is>
          <t>PDF local</t>
        </is>
      </c>
      <c r="C24" s="74" t="inlineStr">
        <is>
          <t>Simultaneously prediction of multiple wheat leaf phenotypes using hyperspectral imaging with multi-task machine and deep learning</t>
        </is>
      </c>
      <c r="D24" s="74" t="inlineStr"/>
      <c r="E24" s="74" t="inlineStr">
        <is>
          <t>Año no determinado</t>
        </is>
      </c>
      <c r="F24" s="74" t="inlineStr">
        <is>
          <t>No se pudo determinar el año con los metadatos locales.</t>
        </is>
      </c>
      <c r="G24" s="74" t="inlineStr">
        <is>
          <t>No</t>
        </is>
      </c>
      <c r="H24" s="74" t="inlineStr">
        <is>
          <t>Artículo PDF</t>
        </is>
      </c>
      <c r="I24" s="74" t="inlineStr">
        <is>
          <t>Revisar</t>
        </is>
      </c>
      <c r="J24" s="74" t="inlineStr"/>
    </row>
    <row r="25" ht="32" customHeight="1" s="34">
      <c r="A25" s="75" t="inlineStr">
        <is>
          <t>B0022</t>
        </is>
      </c>
      <c r="B25" s="75" t="inlineStr">
        <is>
          <t>PDF local</t>
        </is>
      </c>
      <c r="C25" s="75" t="inlineStr">
        <is>
          <t>Mitigating negative effects of long-term treated wastewater irrigation: Leaf gas exchange and water use efficiency response of avocado trees ( Persea americana Mill.)</t>
        </is>
      </c>
      <c r="D25" s="75" t="inlineStr"/>
      <c r="E25" s="75" t="inlineStr"/>
      <c r="F25" s="75" t="inlineStr"/>
      <c r="G25" s="75" t="inlineStr">
        <is>
          <t>No</t>
        </is>
      </c>
      <c r="H25" s="75" t="inlineStr">
        <is>
          <t>Artículo PDF</t>
        </is>
      </c>
      <c r="I25" s="75" t="inlineStr">
        <is>
          <t>Conservar</t>
        </is>
      </c>
      <c r="J25" s="75" t="inlineStr"/>
    </row>
    <row r="26" ht="32" customHeight="1" s="34">
      <c r="A26" s="74" t="inlineStr">
        <is>
          <t>B0023</t>
        </is>
      </c>
      <c r="B26" s="74" t="inlineStr">
        <is>
          <t>IEEE Xplore</t>
        </is>
      </c>
      <c r="C26" s="74" t="inlineStr">
        <is>
          <t>Plant Disease Detection Using Deep Learning</t>
        </is>
      </c>
      <c r="D26" s="74" t="inlineStr">
        <is>
          <t>10.1109/I2CT51068.2021.9417910</t>
        </is>
      </c>
      <c r="E26" s="74" t="inlineStr"/>
      <c r="F26" s="74" t="inlineStr"/>
      <c r="G26" s="74" t="inlineStr">
        <is>
          <t>No</t>
        </is>
      </c>
      <c r="H26" s="74" t="inlineStr">
        <is>
          <t>Ficha bibliográfica</t>
        </is>
      </c>
      <c r="I26" s="74" t="inlineStr">
        <is>
          <t>Conservar</t>
        </is>
      </c>
      <c r="J26" s="74" t="inlineStr"/>
    </row>
    <row r="27" ht="32" customHeight="1" s="34">
      <c r="A27" s="75" t="inlineStr">
        <is>
          <t>B0024</t>
        </is>
      </c>
      <c r="B27" s="75" t="inlineStr">
        <is>
          <t>IEEE Xplore</t>
        </is>
      </c>
      <c r="C27" s="75" t="inlineStr">
        <is>
          <t>Real-Time Detection and Identification of Plant Leaf Diseases using YOLOv4-tiny</t>
        </is>
      </c>
      <c r="D27" s="75" t="inlineStr">
        <is>
          <t>10.1109/ICCCNT51525.2021.9579783</t>
        </is>
      </c>
      <c r="E27" s="75" t="inlineStr"/>
      <c r="F27" s="75" t="inlineStr"/>
      <c r="G27" s="75" t="inlineStr">
        <is>
          <t>No</t>
        </is>
      </c>
      <c r="H27" s="75" t="inlineStr">
        <is>
          <t>Ficha bibliográfica</t>
        </is>
      </c>
      <c r="I27" s="75" t="inlineStr">
        <is>
          <t>Conservar</t>
        </is>
      </c>
      <c r="J27" s="75" t="inlineStr"/>
    </row>
    <row r="28" ht="32" customHeight="1" s="34">
      <c r="A28" s="74" t="inlineStr">
        <is>
          <t>B0025</t>
        </is>
      </c>
      <c r="B28" s="74" t="inlineStr">
        <is>
          <t>PDF local</t>
        </is>
      </c>
      <c r="C28" s="74" t="inlineStr">
        <is>
          <t>Implementation of Deep Learning for Image-Based Potato Leaf Disease Detection</t>
        </is>
      </c>
      <c r="D28" s="74" t="inlineStr">
        <is>
          <t>10.22214/ijraset.2023.53806</t>
        </is>
      </c>
      <c r="E28" s="74" t="inlineStr"/>
      <c r="F28" s="74" t="inlineStr"/>
      <c r="G28" s="74" t="inlineStr">
        <is>
          <t>No</t>
        </is>
      </c>
      <c r="H28" s="74" t="inlineStr">
        <is>
          <t>Artículo PDF</t>
        </is>
      </c>
      <c r="I28" s="74" t="inlineStr">
        <is>
          <t>Conservar</t>
        </is>
      </c>
      <c r="J28" s="74" t="inlineStr"/>
    </row>
    <row r="29" ht="32" customHeight="1" s="34">
      <c r="A29" s="75" t="inlineStr">
        <is>
          <t>B0026</t>
        </is>
      </c>
      <c r="B29" s="75" t="inlineStr">
        <is>
          <t>IEEE Xplore</t>
        </is>
      </c>
      <c r="C29" s="75" t="inlineStr">
        <is>
          <t>Image-Based Plant Leaf Disease Detection using Deep Learning</t>
        </is>
      </c>
      <c r="D29" s="75" t="inlineStr">
        <is>
          <t>10.1109/IConSCEPT61884.2024.10627918</t>
        </is>
      </c>
      <c r="E29" s="75" t="inlineStr"/>
      <c r="F29" s="75" t="inlineStr"/>
      <c r="G29" s="75" t="inlineStr">
        <is>
          <t>No</t>
        </is>
      </c>
      <c r="H29" s="75" t="inlineStr">
        <is>
          <t>Ficha bibliográfica</t>
        </is>
      </c>
      <c r="I29" s="75" t="inlineStr">
        <is>
          <t>Conservar</t>
        </is>
      </c>
      <c r="J29" s="75" t="inlineStr"/>
    </row>
    <row r="30" ht="32" customHeight="1" s="34">
      <c r="A30" s="74" t="inlineStr">
        <is>
          <t>B0027</t>
        </is>
      </c>
      <c r="B30" s="74" t="inlineStr">
        <is>
          <t>IEEE Xplore</t>
        </is>
      </c>
      <c r="C30" s="74" t="inlineStr">
        <is>
          <t>Plant Leaf Disease Detection, Classification, and Diagnosis Using Computer Vision and Artificial Intelligence: A Review</t>
        </is>
      </c>
      <c r="D30" s="74" t="inlineStr">
        <is>
          <t>10.1109/ACCESS.2024.3373001</t>
        </is>
      </c>
      <c r="E30" s="74" t="inlineStr">
        <is>
          <t>Revisión</t>
        </is>
      </c>
      <c r="F30" s="74" t="inlineStr">
        <is>
          <t>Revisión útil para marco teórico, no estudio primario.</t>
        </is>
      </c>
      <c r="G30" s="74" t="inlineStr">
        <is>
          <t>No</t>
        </is>
      </c>
      <c r="H30" s="74" t="inlineStr">
        <is>
          <t>Ficha bibliográfica</t>
        </is>
      </c>
      <c r="I30" s="74" t="inlineStr">
        <is>
          <t>Reserva</t>
        </is>
      </c>
      <c r="J30" s="74" t="inlineStr"/>
    </row>
    <row r="31" ht="32" customHeight="1" s="34">
      <c r="A31" s="75" t="inlineStr">
        <is>
          <t>B0028</t>
        </is>
      </c>
      <c r="B31" s="75" t="inlineStr">
        <is>
          <t>IEEE Xplore</t>
        </is>
      </c>
      <c r="C31" s="75" t="inlineStr">
        <is>
          <t>CNN-Based Plant Leaf Disease Identification and Classification for Sustainable Agriculture</t>
        </is>
      </c>
      <c r="D31" s="75" t="inlineStr">
        <is>
          <t>10.1109/ICMCSI64620.2025.10883522</t>
        </is>
      </c>
      <c r="E31" s="75" t="inlineStr"/>
      <c r="F31" s="75" t="inlineStr"/>
      <c r="G31" s="75" t="inlineStr">
        <is>
          <t>No</t>
        </is>
      </c>
      <c r="H31" s="75" t="inlineStr">
        <is>
          <t>Ficha bibliográfica</t>
        </is>
      </c>
      <c r="I31" s="75" t="inlineStr">
        <is>
          <t>Conservar</t>
        </is>
      </c>
      <c r="J31" s="75" t="inlineStr"/>
    </row>
    <row r="32" ht="32" customHeight="1" s="34">
      <c r="A32" s="74" t="inlineStr">
        <is>
          <t>B0029</t>
        </is>
      </c>
      <c r="B32" s="74" t="inlineStr">
        <is>
          <t>IEEE Xplore</t>
        </is>
      </c>
      <c r="C32" s="74" t="inlineStr">
        <is>
          <t>Crop Disease Prediction System</t>
        </is>
      </c>
      <c r="D32" s="74" t="inlineStr">
        <is>
          <t>10.1109/ICESST69086.2026.11582865</t>
        </is>
      </c>
      <c r="E32" s="74" t="inlineStr"/>
      <c r="F32" s="74" t="inlineStr"/>
      <c r="G32" s="74" t="inlineStr">
        <is>
          <t>No</t>
        </is>
      </c>
      <c r="H32" s="74" t="inlineStr">
        <is>
          <t>Ficha bibliográfica</t>
        </is>
      </c>
      <c r="I32" s="74" t="inlineStr">
        <is>
          <t>Conservar</t>
        </is>
      </c>
      <c r="J32" s="74" t="inlineStr"/>
    </row>
    <row r="33" ht="32" customHeight="1" s="34">
      <c r="A33" s="75" t="inlineStr">
        <is>
          <t>B0030</t>
        </is>
      </c>
      <c r="B33" s="75" t="inlineStr">
        <is>
          <t>Web / DOI</t>
        </is>
      </c>
      <c r="C33" s="75" t="inlineStr">
        <is>
          <t>06 Arana roja Oligonychus punicae Oliveira 2021</t>
        </is>
      </c>
      <c r="D33" s="75" t="inlineStr">
        <is>
          <t>10.1093/jee/toab029</t>
        </is>
      </c>
      <c r="E33" s="75" t="inlineStr">
        <is>
          <t>Año no determinado</t>
        </is>
      </c>
      <c r="F33" s="75" t="inlineStr">
        <is>
          <t>No se pudo determinar el año con los metadatos locales.</t>
        </is>
      </c>
      <c r="G33" s="75" t="inlineStr">
        <is>
          <t>No</t>
        </is>
      </c>
      <c r="H33" s="75" t="inlineStr">
        <is>
          <t>Enlace / recurso web</t>
        </is>
      </c>
      <c r="I33" s="75" t="inlineStr">
        <is>
          <t>Revisar</t>
        </is>
      </c>
      <c r="J33" s="75" t="inlineStr"/>
    </row>
    <row r="34" ht="32" customHeight="1" s="34">
      <c r="A34" s="74" t="inlineStr">
        <is>
          <t>B0031</t>
        </is>
      </c>
      <c r="B34" s="74" t="inlineStr">
        <is>
          <t>Scopus</t>
        </is>
      </c>
      <c r="C34" s="74" t="inlineStr">
        <is>
          <t>BIOLOGICAL PEST CONTROL OF THE TETRANYCHID MITE OLIGONYCHUS PERSEAE IN AVOCADO AND CHALLENGES TO FACE IN A CLIMATE CHANGE SCENARIO</t>
        </is>
      </c>
      <c r="D34" s="74" t="inlineStr"/>
      <c r="E34" s="74" t="inlineStr">
        <is>
          <t>Fuera de rango</t>
        </is>
      </c>
      <c r="F34" s="74" t="inlineStr">
        <is>
          <t>Año fuera del filtro 2021-2026.</t>
        </is>
      </c>
      <c r="G34" s="74" t="inlineStr">
        <is>
          <t>No</t>
        </is>
      </c>
      <c r="H34" s="74" t="inlineStr">
        <is>
          <t>Book chapter</t>
        </is>
      </c>
      <c r="I34" s="74" t="inlineStr">
        <is>
          <t>Excluir</t>
        </is>
      </c>
      <c r="J34" s="74" t="inlineStr"/>
    </row>
    <row r="35" ht="32" customHeight="1" s="34">
      <c r="A35" s="75" t="inlineStr">
        <is>
          <t>B0032</t>
        </is>
      </c>
      <c r="B35" s="75" t="inlineStr">
        <is>
          <t>Scopus</t>
        </is>
      </c>
      <c r="C35" s="75" t="inlineStr">
        <is>
          <t>MODELIZACIÓN ESPACIAL DE LAS POBLACIONES DE Oligonychus perseae (TUTTLE, BAKER Y ABATIELLO, 1976) EN EL ESTADO DE MÉXICO; [SPATIAL MODELING OF THE Oligonychus perseae (TUTTLE, BAKER AND ABATIELLO, 1976) POPULATIONS IN THE STATE OF MEXICO]</t>
        </is>
      </c>
      <c r="D35" s="75" t="inlineStr"/>
      <c r="E35" s="75" t="inlineStr">
        <is>
          <t>Fuera de rango</t>
        </is>
      </c>
      <c r="F35" s="75" t="inlineStr">
        <is>
          <t>Año fuera del filtro 2021-2026.</t>
        </is>
      </c>
      <c r="G35" s="75" t="inlineStr">
        <is>
          <t>No</t>
        </is>
      </c>
      <c r="H35" s="75" t="inlineStr">
        <is>
          <t>Article</t>
        </is>
      </c>
      <c r="I35" s="75" t="inlineStr">
        <is>
          <t>Excluir</t>
        </is>
      </c>
      <c r="J35" s="75" t="inlineStr"/>
    </row>
    <row r="36" ht="32" customHeight="1" s="34">
      <c r="A36" s="74" t="inlineStr">
        <is>
          <t>B0033</t>
        </is>
      </c>
      <c r="B36" s="74" t="inlineStr">
        <is>
          <t>Web / DOI</t>
        </is>
      </c>
      <c r="C36" s="74" t="inlineStr">
        <is>
          <t>05 Arana roja Oligonychus perseae Torres 2022</t>
        </is>
      </c>
      <c r="D36" s="74" t="inlineStr">
        <is>
          <t>10.1080/01647954.2022.2134923</t>
        </is>
      </c>
      <c r="E36" s="74" t="inlineStr"/>
      <c r="F36" s="74" t="inlineStr"/>
      <c r="G36" s="74" t="inlineStr">
        <is>
          <t>No</t>
        </is>
      </c>
      <c r="H36" s="74" t="inlineStr">
        <is>
          <t>Enlace / recurso web</t>
        </is>
      </c>
      <c r="I36" s="74" t="inlineStr">
        <is>
          <t>Conservar</t>
        </is>
      </c>
      <c r="J36" s="74" t="inlineStr"/>
    </row>
    <row r="37" ht="32" customHeight="1" s="34">
      <c r="A37" s="75" t="inlineStr">
        <is>
          <t>B0034</t>
        </is>
      </c>
      <c r="B37" s="75" t="inlineStr">
        <is>
          <t>Scopus</t>
        </is>
      </c>
      <c r="C37"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37" s="75" t="inlineStr">
        <is>
          <t>10.15446/rfnam.v76n2.102479</t>
        </is>
      </c>
      <c r="E37" s="75" t="inlineStr"/>
      <c r="F37" s="75" t="inlineStr"/>
      <c r="G37" s="75" t="inlineStr">
        <is>
          <t>No</t>
        </is>
      </c>
      <c r="H37" s="75" t="inlineStr">
        <is>
          <t>Article</t>
        </is>
      </c>
      <c r="I37" s="75" t="inlineStr">
        <is>
          <t>Conservar</t>
        </is>
      </c>
      <c r="J37" s="75" t="inlineStr"/>
    </row>
    <row r="38" ht="32" customHeight="1" s="34">
      <c r="A38" s="74" t="inlineStr">
        <is>
          <t>B0035</t>
        </is>
      </c>
      <c r="B38" s="74" t="inlineStr">
        <is>
          <t>Scopus</t>
        </is>
      </c>
      <c r="C38"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8" s="74" t="inlineStr">
        <is>
          <t>10.31910/rudca.v26.n2.2023.2370</t>
        </is>
      </c>
      <c r="E38" s="74" t="inlineStr"/>
      <c r="F38" s="74" t="inlineStr"/>
      <c r="G38" s="74" t="inlineStr">
        <is>
          <t>No</t>
        </is>
      </c>
      <c r="H38" s="74" t="inlineStr">
        <is>
          <t>Article</t>
        </is>
      </c>
      <c r="I38" s="74" t="inlineStr">
        <is>
          <t>Conservar</t>
        </is>
      </c>
      <c r="J38" s="74" t="inlineStr"/>
    </row>
    <row r="39" ht="32" customHeight="1" s="34">
      <c r="A39" s="75" t="inlineStr">
        <is>
          <t>B0036</t>
        </is>
      </c>
      <c r="B39" s="75" t="inlineStr">
        <is>
          <t>Scopus</t>
        </is>
      </c>
      <c r="C39" s="75" t="inlineStr">
        <is>
          <t>Spatial modeling of red spider mite Oligonychus punicae (Acari: Tetranychidae) in avocado crop</t>
        </is>
      </c>
      <c r="D39" s="75" t="inlineStr">
        <is>
          <t>10.1653/024.106.0402</t>
        </is>
      </c>
      <c r="E39" s="75" t="inlineStr"/>
      <c r="F39" s="75" t="inlineStr"/>
      <c r="G39" s="75" t="inlineStr">
        <is>
          <t>No</t>
        </is>
      </c>
      <c r="H39" s="75" t="inlineStr">
        <is>
          <t>Article</t>
        </is>
      </c>
      <c r="I39" s="75" t="inlineStr">
        <is>
          <t>Conservar</t>
        </is>
      </c>
      <c r="J39" s="75" t="inlineStr"/>
    </row>
    <row r="40" ht="32" customHeight="1" s="34">
      <c r="A40" s="74" t="inlineStr">
        <is>
          <t>B0037</t>
        </is>
      </c>
      <c r="B40" s="74" t="inlineStr">
        <is>
          <t>Scopus</t>
        </is>
      </c>
      <c r="C40" s="74" t="inlineStr">
        <is>
          <t>Biosecurity practices and exploratory survey for pests and diseases of avocados in the Gharb-Loukkos region, Morocco</t>
        </is>
      </c>
      <c r="D40" s="74" t="inlineStr">
        <is>
          <t>10.17660/ActaHortic.2025.1422.47</t>
        </is>
      </c>
      <c r="E40" s="74" t="inlineStr">
        <is>
          <t>Revisión</t>
        </is>
      </c>
      <c r="F40" s="74" t="inlineStr">
        <is>
          <t>Revisión útil para marco teórico, no estudio primario.</t>
        </is>
      </c>
      <c r="G40" s="74" t="inlineStr">
        <is>
          <t>No</t>
        </is>
      </c>
      <c r="H40" s="74" t="inlineStr">
        <is>
          <t>Conference paper</t>
        </is>
      </c>
      <c r="I40" s="74" t="inlineStr">
        <is>
          <t>Reserva</t>
        </is>
      </c>
      <c r="J40" s="74" t="inlineStr"/>
    </row>
    <row r="41" ht="32" customHeight="1" s="34">
      <c r="A41" s="75" t="inlineStr">
        <is>
          <t>B0038</t>
        </is>
      </c>
      <c r="B41" s="75" t="inlineStr">
        <is>
          <t>Web / DOI</t>
        </is>
      </c>
      <c r="C41" s="75" t="inlineStr">
        <is>
          <t>02 Tizon Pseudocercospora norchiensis Dai 2026</t>
        </is>
      </c>
      <c r="D41" s="75" t="inlineStr">
        <is>
          <t>10.1094/PDIS-03-25-0523-PDN</t>
        </is>
      </c>
      <c r="E41" s="75" t="inlineStr">
        <is>
          <t>Año no determinado</t>
        </is>
      </c>
      <c r="F41" s="75" t="inlineStr">
        <is>
          <t>No se pudo determinar el año con los metadatos locales.</t>
        </is>
      </c>
      <c r="G41" s="75" t="inlineStr">
        <is>
          <t>No</t>
        </is>
      </c>
      <c r="H41" s="75" t="inlineStr">
        <is>
          <t>Enlace / recurso web</t>
        </is>
      </c>
      <c r="I41" s="75" t="inlineStr">
        <is>
          <t>Revisar</t>
        </is>
      </c>
      <c r="J41" s="75" t="inlineStr"/>
    </row>
    <row r="42" ht="32" customHeight="1" s="34">
      <c r="A42" s="74" t="inlineStr">
        <is>
          <t>B0039</t>
        </is>
      </c>
      <c r="B42" s="74" t="inlineStr">
        <is>
          <t>Web / DOI</t>
        </is>
      </c>
      <c r="C42" s="74" t="inlineStr">
        <is>
          <t>04 Cercospora van Eeden Korsten 2013</t>
        </is>
      </c>
      <c r="D42" s="74" t="inlineStr">
        <is>
          <t>10.2174/22115501113029990001</t>
        </is>
      </c>
      <c r="E42" s="74" t="inlineStr">
        <is>
          <t>Año no determinado</t>
        </is>
      </c>
      <c r="F42" s="74" t="inlineStr">
        <is>
          <t>No se pudo determinar el año con los metadatos locales.</t>
        </is>
      </c>
      <c r="G42" s="74" t="inlineStr">
        <is>
          <t>No</t>
        </is>
      </c>
      <c r="H42" s="74" t="inlineStr">
        <is>
          <t>Enlace / recurso web</t>
        </is>
      </c>
      <c r="I42" s="74" t="inlineStr">
        <is>
          <t>Revisar</t>
        </is>
      </c>
      <c r="J42" s="74" t="inlineStr"/>
    </row>
    <row r="43" ht="32" customHeight="1" s="34">
      <c r="A43" s="75" t="inlineStr">
        <is>
          <t>B0040</t>
        </is>
      </c>
      <c r="B43" s="75" t="inlineStr">
        <is>
          <t>PDF local</t>
        </is>
      </c>
      <c r="C43" s="75" t="inlineStr">
        <is>
          <t>Validation of black spot [(Pseudocercospora purpurea (Cooke) Deighton] management strategies in avocado crops in northern Tolima (Colombia)</t>
        </is>
      </c>
      <c r="D43" s="75" t="inlineStr">
        <is>
          <t>10.17584/rcch.2020v14i2.10169</t>
        </is>
      </c>
      <c r="E43" s="75" t="inlineStr">
        <is>
          <t>Fuera de rango</t>
        </is>
      </c>
      <c r="F43" s="75" t="inlineStr">
        <is>
          <t>Año fuera del filtro 2021-2026.</t>
        </is>
      </c>
      <c r="G43" s="75" t="inlineStr">
        <is>
          <t>No</t>
        </is>
      </c>
      <c r="H43" s="75" t="inlineStr">
        <is>
          <t>Artículo PDF</t>
        </is>
      </c>
      <c r="I43" s="75" t="inlineStr">
        <is>
          <t>Excluir</t>
        </is>
      </c>
      <c r="J43" s="75" t="inlineStr"/>
    </row>
    <row r="44" ht="32" customHeight="1" s="34">
      <c r="A44" s="74" t="inlineStr">
        <is>
          <t>B0041</t>
        </is>
      </c>
      <c r="B44" s="74" t="inlineStr">
        <is>
          <t>IEEE Xplore</t>
        </is>
      </c>
      <c r="C44" s="74" t="inlineStr">
        <is>
          <t>Plant Leaf Disease Detection Classification and Diagnosis Using Computer Vision and Artificial Intelligence A Review</t>
        </is>
      </c>
      <c r="D44" s="74" t="inlineStr"/>
      <c r="E44" s="74" t="inlineStr">
        <is>
          <t>Año no determinado</t>
        </is>
      </c>
      <c r="F44" s="74" t="inlineStr">
        <is>
          <t>No se pudo determinar el año con los metadatos locales.</t>
        </is>
      </c>
      <c r="G44" s="74" t="inlineStr">
        <is>
          <t>No</t>
        </is>
      </c>
      <c r="H44" s="74" t="inlineStr">
        <is>
          <t>Enlace / recurso web</t>
        </is>
      </c>
      <c r="I44" s="74" t="inlineStr">
        <is>
          <t>Revisar</t>
        </is>
      </c>
      <c r="J44" s="74" t="inlineStr"/>
    </row>
    <row r="45" ht="32" customHeight="1" s="34">
      <c r="A45" s="75" t="inlineStr">
        <is>
          <t>B0042</t>
        </is>
      </c>
      <c r="B45" s="75" t="inlineStr">
        <is>
          <t>Web / DOI</t>
        </is>
      </c>
      <c r="C45" s="75" t="inlineStr">
        <is>
          <t>09 Rona Scab Belizaire 2024</t>
        </is>
      </c>
      <c r="D45" s="75" t="inlineStr">
        <is>
          <t>10.1094/PHP-10-23-0084-DG</t>
        </is>
      </c>
      <c r="E45" s="75" t="inlineStr">
        <is>
          <t>Año no determinado</t>
        </is>
      </c>
      <c r="F45" s="75" t="inlineStr">
        <is>
          <t>No se pudo determinar el año con los metadatos locales.</t>
        </is>
      </c>
      <c r="G45" s="75" t="inlineStr">
        <is>
          <t>No</t>
        </is>
      </c>
      <c r="H45" s="75" t="inlineStr">
        <is>
          <t>Enlace / recurso web</t>
        </is>
      </c>
      <c r="I45" s="75" t="inlineStr">
        <is>
          <t>Revisar</t>
        </is>
      </c>
      <c r="J45" s="75" t="inlineStr"/>
    </row>
    <row r="46" ht="32" customHeight="1" s="34">
      <c r="A46" s="74" t="inlineStr">
        <is>
          <t>B0043</t>
        </is>
      </c>
      <c r="B46" s="74" t="inlineStr">
        <is>
          <t>Web / DOI</t>
        </is>
      </c>
      <c r="C46" s="74" t="inlineStr">
        <is>
          <t>10 Rona Scab Chellappan 2024 PDF</t>
        </is>
      </c>
      <c r="D46" s="74" t="inlineStr"/>
      <c r="E46" s="74" t="inlineStr"/>
      <c r="F46" s="74" t="inlineStr"/>
      <c r="G46" s="74" t="inlineStr">
        <is>
          <t>No</t>
        </is>
      </c>
      <c r="H46" s="74" t="inlineStr">
        <is>
          <t>Enlace / recurso web</t>
        </is>
      </c>
      <c r="I46" s="74" t="inlineStr">
        <is>
          <t>Conservar</t>
        </is>
      </c>
      <c r="J46" s="74" t="inlineStr"/>
    </row>
    <row r="47" ht="32" customHeight="1" s="34">
      <c r="A47" s="75" t="inlineStr">
        <is>
          <t>B0044</t>
        </is>
      </c>
      <c r="B47" s="75" t="inlineStr">
        <is>
          <t>BibTeX</t>
        </is>
      </c>
      <c r="C47" s="75" t="inlineStr">
        <is>
          <t>Comparative secretome analysis unveils species-specific virulence factors in Elsinoe perseae, the causative agent of the scab disease of avocado (Persea americana)</t>
        </is>
      </c>
      <c r="D47" s="75" t="inlineStr">
        <is>
          <t>10.3934/microbiol.2024039</t>
        </is>
      </c>
      <c r="E47" s="75" t="inlineStr"/>
      <c r="F47" s="75" t="inlineStr"/>
      <c r="G47" s="75" t="inlineStr">
        <is>
          <t>No</t>
        </is>
      </c>
      <c r="H47" s="75" t="inlineStr">
        <is>
          <t>Artículo referenciado</t>
        </is>
      </c>
      <c r="I47" s="75" t="inlineStr">
        <is>
          <t>Conservar</t>
        </is>
      </c>
      <c r="J47" s="75" t="inlineStr"/>
    </row>
    <row r="48" ht="32" customHeight="1" s="34">
      <c r="A48" s="74" t="inlineStr">
        <is>
          <t>B0045</t>
        </is>
      </c>
      <c r="B48" s="74" t="inlineStr">
        <is>
          <t>Scopus</t>
        </is>
      </c>
      <c r="C48" s="74" t="inlineStr">
        <is>
          <t>Real-time hass avocado ripeness detection using close-range UAV imagery and YOLO-based deep learning</t>
        </is>
      </c>
      <c r="D48" s="74" t="inlineStr"/>
      <c r="E48" s="74" t="inlineStr">
        <is>
          <t>Año no determinado</t>
        </is>
      </c>
      <c r="F48" s="74" t="inlineStr">
        <is>
          <t>No se pudo determinar el año con los metadatos locales.</t>
        </is>
      </c>
      <c r="G48" s="74" t="inlineStr">
        <is>
          <t>No</t>
        </is>
      </c>
      <c r="H48" s="74" t="inlineStr">
        <is>
          <t>Artículo PDF</t>
        </is>
      </c>
      <c r="I48" s="74" t="inlineStr">
        <is>
          <t>Revisar</t>
        </is>
      </c>
      <c r="J48" s="74" t="inlineStr"/>
    </row>
    <row r="49" ht="32" customHeight="1" s="34">
      <c r="A49" s="75" t="inlineStr">
        <is>
          <t>B0046</t>
        </is>
      </c>
      <c r="B49" s="75" t="inlineStr">
        <is>
          <t>Web / DOI</t>
        </is>
      </c>
      <c r="C49" s="75" t="inlineStr">
        <is>
          <t>03 Tizon Neopestalotiopsis Darapanit 2021</t>
        </is>
      </c>
      <c r="D49" s="75" t="inlineStr"/>
      <c r="E49" s="75" t="inlineStr">
        <is>
          <t>Año no determinado</t>
        </is>
      </c>
      <c r="F49" s="75" t="inlineStr">
        <is>
          <t>No se pudo determinar el año con los metadatos locales.</t>
        </is>
      </c>
      <c r="G49" s="75" t="inlineStr">
        <is>
          <t>No</t>
        </is>
      </c>
      <c r="H49" s="75" t="inlineStr">
        <is>
          <t>Enlace / recurso web</t>
        </is>
      </c>
      <c r="I49" s="75" t="inlineStr">
        <is>
          <t>Revisar</t>
        </is>
      </c>
      <c r="J49" s="75" t="inlineStr"/>
    </row>
    <row r="50" ht="32" customHeight="1" s="34">
      <c r="A50" s="74" t="inlineStr">
        <is>
          <t>B0047</t>
        </is>
      </c>
      <c r="B50" s="74" t="inlineStr">
        <is>
          <t>BibTeX</t>
        </is>
      </c>
      <c r="C50" s="74" t="inlineStr">
        <is>
          <t>Identification, pathogenicity and effects of plant extracts on Neopestalotiopsis and Pseudopestalotiopsis causing fruit diseases</t>
        </is>
      </c>
      <c r="D50" s="74" t="inlineStr">
        <is>
          <t>10.1038/s41598-021-02113-5</t>
        </is>
      </c>
      <c r="E50" s="74" t="inlineStr"/>
      <c r="F50" s="74" t="inlineStr"/>
      <c r="G50" s="74" t="inlineStr">
        <is>
          <t>No</t>
        </is>
      </c>
      <c r="H50" s="74" t="inlineStr">
        <is>
          <t>Artículo referenciado</t>
        </is>
      </c>
      <c r="I50" s="74" t="inlineStr">
        <is>
          <t>Conservar</t>
        </is>
      </c>
      <c r="J50" s="74" t="inlineStr"/>
    </row>
    <row r="51" ht="32" customHeight="1" s="34">
      <c r="A51" s="75" t="inlineStr">
        <is>
          <t>B0048</t>
        </is>
      </c>
      <c r="B51" s="75" t="inlineStr">
        <is>
          <t>PDF local</t>
        </is>
      </c>
      <c r="C51" s="75" t="inlineStr">
        <is>
          <t>Colletotrichum fructicola Causes Necrotic Leaf Lesions in Avocado (Persea americana) in Amazonas, Peru: First Record and In Vitro Control Using Piper Essential Oils</t>
        </is>
      </c>
      <c r="D51" s="75" t="inlineStr"/>
      <c r="E51" s="75" t="inlineStr"/>
      <c r="F51" s="75" t="inlineStr"/>
      <c r="G51" s="75" t="inlineStr">
        <is>
          <t>No</t>
        </is>
      </c>
      <c r="H51" s="75" t="inlineStr">
        <is>
          <t>Artículo PDF</t>
        </is>
      </c>
      <c r="I51" s="75" t="inlineStr">
        <is>
          <t>Conservar</t>
        </is>
      </c>
      <c r="J51" s="75" t="inlineStr"/>
    </row>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33.6"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33.6" customHeight="1" s="34"/>
    <row r="591" ht="33.6" customHeight="1" s="34"/>
  </sheetData>
  <autoFilter ref="A3:J51"/>
  <mergeCells count="2">
    <mergeCell ref="A1:I1"/>
    <mergeCell ref="A2:I2"/>
  </mergeCells>
  <dataValidations count="4">
    <dataValidation sqref="E4:E500" showDropDown="0" showInputMessage="0" showErrorMessage="0" allowBlank="1" type="list">
      <formula1>"Duplicado,Revisión sistemática,Fuera de alcance,Otro"</formula1>
    </dataValidation>
    <dataValidation sqref="G4:G500" showDropDown="0" showInputMessage="0" showErrorMessage="0" allowBlank="1" type="list">
      <formula1>"Sí,No"</formula1>
    </dataValidation>
    <dataValidation sqref="H4:H500" showDropDown="0" showInputMessage="0" showErrorMessage="0" allowBlank="1" type="list">
      <formula1>"Primario,Revisión,Otro"</formula1>
    </dataValidation>
    <dataValidation sqref="I4:I500" showDropDown="0" showInputMessage="0" showErrorMessage="0" allowBlank="1" type="list">
      <formula1>"Mantener,Excluir"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51"/>
  <sheetViews>
    <sheetView showGridLines="0" topLeftCell="A1" zoomScale="81" zoomScaleNormal="81" workbookViewId="0">
      <selection activeCell="A1" sqref="A1"/>
    </sheetView>
  </sheetViews>
  <sheetFormatPr baseColWidth="10" defaultColWidth="8.88671875" defaultRowHeight="14.4"/>
  <cols>
    <col width="10" customWidth="1" style="34" min="1" max="1"/>
    <col width="18" customWidth="1" style="34" min="2" max="2"/>
    <col width="50" customWidth="1" style="34" min="3" max="3"/>
    <col width="36" customWidth="1" style="34" min="4" max="4"/>
    <col width="58" customWidth="1" style="34" min="5" max="9"/>
    <col width="20" customWidth="1" style="34" min="6" max="6"/>
    <col width="28" customWidth="1" style="34" min="7" max="7"/>
    <col width="18" customWidth="1" style="34" min="8" max="8"/>
    <col width="34" customWidth="1" style="34" min="9" max="9"/>
    <col width="18" customWidth="1" style="34" min="10" max="10"/>
    <col width="22" customWidth="1" style="34" min="11" max="11"/>
    <col width="18" customWidth="1" style="34" min="12" max="12"/>
    <col width="28" customWidth="1" style="34" min="13" max="13"/>
    <col width="14" customWidth="1" style="34" min="14" max="14"/>
  </cols>
  <sheetData>
    <row r="1" ht="24" customHeight="1" s="34">
      <c r="A1" s="71" t="inlineStr">
        <is>
          <t>Tamizaje_Titulo_Abstract_Keywords</t>
        </is>
      </c>
    </row>
    <row r="2" ht="24" customHeight="1" s="34">
      <c r="A2" s="72" t="inlineStr">
        <is>
          <t>Cribado por título, abstract y keywords. Registra la evidencia de cada eje y decide si el registro pasa a evaluación de calidad.</t>
        </is>
      </c>
    </row>
    <row r="3" ht="24" customHeight="1" s="34">
      <c r="A3" s="73" t="inlineStr">
        <is>
          <t>ID</t>
        </is>
      </c>
      <c r="B3" s="73" t="inlineStr">
        <is>
          <t>Base de datos</t>
        </is>
      </c>
      <c r="C3" s="73" t="inlineStr">
        <is>
          <t>Título completo</t>
        </is>
      </c>
      <c r="D3" s="73" t="inlineStr">
        <is>
          <t>Keywords principales</t>
        </is>
      </c>
      <c r="E3" s="73" t="inlineStr">
        <is>
          <t>Resumen técnico del abstract</t>
        </is>
      </c>
      <c r="F3" s="73" t="inlineStr">
        <is>
          <t>Evidencia de Inteligencia Artificial</t>
        </is>
      </c>
      <c r="G3" s="73" t="inlineStr">
        <is>
          <t>Evidencia de HCI / UX / UCD / usability</t>
        </is>
      </c>
      <c r="H3" s="73" t="inlineStr">
        <is>
          <t>Evidencia de aplicación móvil</t>
        </is>
      </c>
      <c r="I3" s="73" t="inlineStr">
        <is>
          <t>Evidencia de design / framework / methodology / approach</t>
        </is>
      </c>
      <c r="J3" s="73" t="inlineStr">
        <is>
          <t>Evidencia de agricultura / farming / smart agriculture</t>
        </is>
      </c>
      <c r="K3" s="73" t="inlineStr">
        <is>
          <t>Tipo de estudio (Primario / Revisión / Otro)</t>
        </is>
      </c>
      <c r="L3" s="73" t="inlineStr">
        <is>
          <t>Nivel de alineación con el objetivo</t>
        </is>
      </c>
      <c r="M3" s="73" t="inlineStr">
        <is>
          <t>Motivo de clasificación</t>
        </is>
      </c>
      <c r="N3" s="73" t="inlineStr">
        <is>
          <t>¿Pasa a evaluación de calidad?</t>
        </is>
      </c>
    </row>
    <row r="4" ht="32" customHeight="1" s="34">
      <c r="A4" s="74" t="inlineStr">
        <is>
          <t>B0001</t>
        </is>
      </c>
      <c r="B4" s="74" t="inlineStr">
        <is>
          <t>Web / DOI</t>
        </is>
      </c>
      <c r="C4" s="74" t="inlineStr">
        <is>
          <t>07 Agallas Trioza anceps Torres Gurrola 2011 UNAM</t>
        </is>
      </c>
      <c r="D4" s="74" t="inlineStr">
        <is>
          <t>Agallas foliares</t>
        </is>
      </c>
      <c r="E4" s="74" t="inlineStr">
        <is>
          <t>https://tesiunamdocumentos.dgb.unam.mx/ptb2011/septiembre/0672711/0672711_A1.pdf</t>
        </is>
      </c>
      <c r="F4" s="74" t="inlineStr">
        <is>
          <t>No</t>
        </is>
      </c>
      <c r="G4" s="74" t="inlineStr">
        <is>
          <t>Parcial: se definirá en diseño de app móvil</t>
        </is>
      </c>
      <c r="H4" s="74" t="inlineStr">
        <is>
          <t>No</t>
        </is>
      </c>
      <c r="I4" s="74" t="inlineStr">
        <is>
          <t>Sí: aporta método, diagnóstico, clasificación o criterio de revisión</t>
        </is>
      </c>
      <c r="J4" s="74" t="inlineStr">
        <is>
          <t>Sí</t>
        </is>
      </c>
      <c r="K4" s="74" t="inlineStr">
        <is>
          <t>Primario / técnico</t>
        </is>
      </c>
      <c r="L4" s="74" t="inlineStr">
        <is>
          <t>Media</t>
        </is>
      </c>
      <c r="M4" s="74" t="inlineStr">
        <is>
          <t>Agallas foliares</t>
        </is>
      </c>
      <c r="N4" s="74" t="inlineStr">
        <is>
          <t>Sí</t>
        </is>
      </c>
    </row>
    <row r="5" ht="32" customHeight="1" s="34">
      <c r="A5" s="75" t="inlineStr">
        <is>
          <t>B0002</t>
        </is>
      </c>
      <c r="B5" s="75" t="inlineStr">
        <is>
          <t>Web / DOI</t>
        </is>
      </c>
      <c r="C5" s="75" t="inlineStr">
        <is>
          <t>08 Agallas Trioza anceps Rincon Hernandez 2008</t>
        </is>
      </c>
      <c r="D5" s="75" t="inlineStr">
        <is>
          <t>Agallas foliares</t>
        </is>
      </c>
      <c r="E5" s="75" t="inlineStr">
        <is>
          <t>https://indianjournals.com/article/aj-21-1-015</t>
        </is>
      </c>
      <c r="F5" s="75" t="inlineStr">
        <is>
          <t>No</t>
        </is>
      </c>
      <c r="G5" s="75" t="inlineStr">
        <is>
          <t>Parcial: se definirá en diseño de app móvil</t>
        </is>
      </c>
      <c r="H5" s="75" t="inlineStr">
        <is>
          <t>No</t>
        </is>
      </c>
      <c r="I5" s="75" t="inlineStr">
        <is>
          <t>Sí: aporta método, diagnóstico, clasificación o criterio de revisión</t>
        </is>
      </c>
      <c r="J5" s="75" t="inlineStr">
        <is>
          <t>Sí</t>
        </is>
      </c>
      <c r="K5" s="75" t="inlineStr">
        <is>
          <t>Primario / técnico</t>
        </is>
      </c>
      <c r="L5" s="75" t="inlineStr">
        <is>
          <t>Media</t>
        </is>
      </c>
      <c r="M5" s="75" t="inlineStr">
        <is>
          <t>Agallas foliares</t>
        </is>
      </c>
      <c r="N5" s="75" t="inlineStr">
        <is>
          <t>Sí</t>
        </is>
      </c>
    </row>
    <row r="6" ht="32" customHeight="1" s="34">
      <c r="A6" s="74" t="inlineStr">
        <is>
          <t>B0003</t>
        </is>
      </c>
      <c r="B6" s="74" t="inlineStr">
        <is>
          <t>BibTeX</t>
        </is>
      </c>
      <c r="C6" s="74" t="inlineStr">
        <is>
          <t>Relationship between the phytochemical diversity in creole avocado (Persea americana var. drymifolia) leaves and the incidence of foliar gall psyllid (Trioza anceps)</t>
        </is>
      </c>
      <c r="D6" s="74" t="inlineStr"/>
      <c r="E6" s="74" t="inlineStr"/>
      <c r="F6" s="74" t="inlineStr">
        <is>
          <t>No</t>
        </is>
      </c>
      <c r="G6" s="74" t="inlineStr">
        <is>
          <t>Parcial: se definirá en diseño de app móvil</t>
        </is>
      </c>
      <c r="H6" s="74" t="inlineStr">
        <is>
          <t>No</t>
        </is>
      </c>
      <c r="I6" s="74" t="inlineStr">
        <is>
          <t>Sí: aporta método, diagnóstico, clasificación o criterio de revisión</t>
        </is>
      </c>
      <c r="J6" s="74" t="inlineStr">
        <is>
          <t>Sí</t>
        </is>
      </c>
      <c r="K6" s="74" t="inlineStr">
        <is>
          <t>Primario / técnico</t>
        </is>
      </c>
      <c r="L6" s="74" t="inlineStr">
        <is>
          <t>Alta</t>
        </is>
      </c>
      <c r="M6" s="74" t="inlineStr">
        <is>
          <t>Agallas foliares</t>
        </is>
      </c>
      <c r="N6" s="74" t="inlineStr">
        <is>
          <t>No</t>
        </is>
      </c>
    </row>
    <row r="7" ht="32" customHeight="1" s="34">
      <c r="A7" s="75" t="inlineStr">
        <is>
          <t>B0004</t>
        </is>
      </c>
      <c r="B7" s="75" t="inlineStr">
        <is>
          <t>BibTeX</t>
        </is>
      </c>
      <c r="C7" s="75" t="inlineStr">
        <is>
          <t>The foliar chemical profile of criollo avocado, Persea americana var. drymifolia (Lauraceae), and its relationship with the incidence of a gall-forming insect, Trioza anceps (Triozidae)</t>
        </is>
      </c>
      <c r="D7" s="75" t="inlineStr"/>
      <c r="E7" s="75" t="inlineStr"/>
      <c r="F7" s="75" t="inlineStr">
        <is>
          <t>No</t>
        </is>
      </c>
      <c r="G7" s="75" t="inlineStr">
        <is>
          <t>Parcial: se definirá en diseño de app móvil</t>
        </is>
      </c>
      <c r="H7" s="75" t="inlineStr">
        <is>
          <t>No</t>
        </is>
      </c>
      <c r="I7" s="75" t="inlineStr">
        <is>
          <t>Sí: aporta método, diagnóstico, clasificación o criterio de revisión</t>
        </is>
      </c>
      <c r="J7" s="75" t="inlineStr">
        <is>
          <t>Sí</t>
        </is>
      </c>
      <c r="K7" s="75" t="inlineStr">
        <is>
          <t>Primario / técnico</t>
        </is>
      </c>
      <c r="L7" s="75" t="inlineStr">
        <is>
          <t>Alta</t>
        </is>
      </c>
      <c r="M7" s="75" t="inlineStr">
        <is>
          <t>Agallas foliares</t>
        </is>
      </c>
      <c r="N7" s="75" t="inlineStr">
        <is>
          <t>No</t>
        </is>
      </c>
    </row>
    <row r="8" ht="32" customHeight="1" s="34">
      <c r="A8" s="74" t="inlineStr">
        <is>
          <t>B0005</t>
        </is>
      </c>
      <c r="B8" s="74" t="inlineStr">
        <is>
          <t>PDF local</t>
        </is>
      </c>
      <c r="C8" s="74" t="inlineStr">
        <is>
          <t>Silica-based nanomaterials for the control of Trioza anceps: Laboratory bioassays and preliminary field observations</t>
        </is>
      </c>
      <c r="D8" s="74" t="inlineStr">
        <is>
          <t>Agallas foliares</t>
        </is>
      </c>
      <c r="E8" s="74" t="inlineStr">
        <is>
          <t>Journal of Sol-Gel Science and Technology (2026) 118:59 https://doi.org/10.1007/s10971-026-07179-z ORIGINAL PAPER Silica-based nanomaterials for the control of Trioza anceps: Laboratory bioassays and preliminary ﬁeld observations G. Cinto-Alarcon 1 ● J. A. Moreno-Rodríguez 2 ● A. Aragón-García 1 ● L. A. Moreno-Rodríguez 3 ● E. A. Valdez-Torija 3 ● E. Rubio-Rosas 4 Received: 5 January 2026 / Accepted: 16 April 2026 / Published online: 26 May 2026 © The Author(s) 2026 Abstract It is known that four Trioza species attack avocado foliage, with Trioza anceps Tuthill (commonly called the avocado psyllid) being a widespread pest in Mexico and Central America. Both nymphs and adults feed on young leaf sap, but the nymphs induce avocado leaf galls by injecting a toxin during feeding, triggering tissue hyperplasia and hypertrophy. This leads to severe leaf deformations, stunted tree growth, and overall decline in plant health [ 1]. The aim of the present research was to evaluate the ef ﬁcacy of nanomaterials synthesized via the sol-gel method for the control of T. anceps. The treatments included silicon oxide, silicon oxide with pine bark extract, silicon oxide with pine resin, and silicon oxide with both pine bark extract and pine resin. The nanomaterials were characterized prior to laboratory testing. Among them, the SiO 2-pine resin formulation proved to be the most effective, achieving 100% mortality of T. anceps nymphs by day 7 and belonging to the highest statistical ef ﬁcacy...</t>
        </is>
      </c>
      <c r="F8" s="74" t="inlineStr">
        <is>
          <t>No</t>
        </is>
      </c>
      <c r="G8" s="74" t="inlineStr">
        <is>
          <t>Parcial: se definirá en diseño de app móvil</t>
        </is>
      </c>
      <c r="H8" s="74" t="inlineStr">
        <is>
          <t>No</t>
        </is>
      </c>
      <c r="I8" s="74" t="inlineStr">
        <is>
          <t>Sí: aporta método, diagnóstico, clasificación o criterio de revisión</t>
        </is>
      </c>
      <c r="J8" s="74" t="inlineStr">
        <is>
          <t>Sí</t>
        </is>
      </c>
      <c r="K8" s="74" t="inlineStr">
        <is>
          <t>Primario / técnico</t>
        </is>
      </c>
      <c r="L8" s="74" t="inlineStr">
        <is>
          <t>Alta</t>
        </is>
      </c>
      <c r="M8" s="74" t="inlineStr">
        <is>
          <t>Agallas foliares</t>
        </is>
      </c>
      <c r="N8" s="74" t="inlineStr">
        <is>
          <t>Sí</t>
        </is>
      </c>
    </row>
    <row r="9" ht="32" customHeight="1" s="34">
      <c r="A9" s="75" t="inlineStr">
        <is>
          <t>B0006</t>
        </is>
      </c>
      <c r="B9" s="75" t="inlineStr">
        <is>
          <t>IEEE Xplore</t>
        </is>
      </c>
      <c r="C9" s="75" t="inlineStr">
        <is>
          <t>Unified Approach for Avocado Leaf Disease Classification CNN-SVM Fusion</t>
        </is>
      </c>
      <c r="D9" s="75" t="inlineStr">
        <is>
          <t>Antracnosis</t>
        </is>
      </c>
      <c r="E9" s="75" t="inlineStr">
        <is>
          <t>https://ieeexplore.ieee.org/document/10544074</t>
        </is>
      </c>
      <c r="F9" s="75" t="inlineStr">
        <is>
          <t>Sí</t>
        </is>
      </c>
      <c r="G9" s="75" t="inlineStr">
        <is>
          <t>Parcial: se definirá en diseño de app móvil</t>
        </is>
      </c>
      <c r="H9" s="75" t="inlineStr">
        <is>
          <t>No</t>
        </is>
      </c>
      <c r="I9" s="75" t="inlineStr">
        <is>
          <t>Sí: aporta método, diagnóstico, clasificación o criterio de revisión</t>
        </is>
      </c>
      <c r="J9" s="75" t="inlineStr">
        <is>
          <t>Sí</t>
        </is>
      </c>
      <c r="K9" s="75" t="inlineStr">
        <is>
          <t>Primario / técnico</t>
        </is>
      </c>
      <c r="L9" s="75" t="inlineStr">
        <is>
          <t>Alta</t>
        </is>
      </c>
      <c r="M9" s="75" t="inlineStr">
        <is>
          <t>Antracnosis</t>
        </is>
      </c>
      <c r="N9" s="75" t="inlineStr">
        <is>
          <t>Sí</t>
        </is>
      </c>
    </row>
    <row r="10" ht="32" customHeight="1" s="34">
      <c r="A10" s="74" t="inlineStr">
        <is>
          <t>B0007</t>
        </is>
      </c>
      <c r="B10" s="74" t="inlineStr">
        <is>
          <t>Web / DOI</t>
        </is>
      </c>
      <c r="C10" s="74" t="inlineStr">
        <is>
          <t>01 Antracnosis Uysal Kurt 2020</t>
        </is>
      </c>
      <c r="D10" s="74" t="inlineStr">
        <is>
          <t>Antracnosis</t>
        </is>
      </c>
      <c r="E10" s="74" t="inlineStr">
        <is>
          <t>https://doi.org/10.1016/j.cropro.2020.105145</t>
        </is>
      </c>
      <c r="F10" s="74" t="inlineStr">
        <is>
          <t>No</t>
        </is>
      </c>
      <c r="G10" s="74" t="inlineStr">
        <is>
          <t>Parcial: se definirá en diseño de app móvil</t>
        </is>
      </c>
      <c r="H10" s="74" t="inlineStr">
        <is>
          <t>No</t>
        </is>
      </c>
      <c r="I10" s="74" t="inlineStr">
        <is>
          <t>Sí: aporta método, diagnóstico, clasificación o criterio de revisión</t>
        </is>
      </c>
      <c r="J10" s="74" t="inlineStr">
        <is>
          <t>No</t>
        </is>
      </c>
      <c r="K10" s="74" t="inlineStr">
        <is>
          <t>Primario / técnico</t>
        </is>
      </c>
      <c r="L10" s="74" t="inlineStr">
        <is>
          <t>Baja</t>
        </is>
      </c>
      <c r="M10" s="74" t="inlineStr">
        <is>
          <t>Antracnosis</t>
        </is>
      </c>
      <c r="N10" s="74" t="inlineStr">
        <is>
          <t>No</t>
        </is>
      </c>
    </row>
    <row r="11" ht="32" customHeight="1" s="34">
      <c r="A11" s="75" t="inlineStr">
        <is>
          <t>B0008</t>
        </is>
      </c>
      <c r="B11" s="75" t="inlineStr">
        <is>
          <t>Scopus</t>
        </is>
      </c>
      <c r="C11" s="75" t="inlineStr">
        <is>
          <t>Identification of pathogen species of avocado leaf anthracnose in Chongzuo, Guangxi; [广西崇左油梨叶部炭疽病病原菌分离与鉴定]</t>
        </is>
      </c>
      <c r="D11" s="75" t="inlineStr"/>
      <c r="E11" s="75" t="inlineStr"/>
      <c r="F11" s="75" t="inlineStr">
        <is>
          <t>No</t>
        </is>
      </c>
      <c r="G11" s="75" t="inlineStr">
        <is>
          <t>Parcial: se definirá en diseño de app móvil</t>
        </is>
      </c>
      <c r="H11" s="75" t="inlineStr">
        <is>
          <t>No</t>
        </is>
      </c>
      <c r="I11" s="75" t="inlineStr">
        <is>
          <t>Sí: aporta método, diagnóstico, clasificación o criterio de revisión</t>
        </is>
      </c>
      <c r="J11" s="75" t="inlineStr">
        <is>
          <t>Sí</t>
        </is>
      </c>
      <c r="K11" s="75" t="inlineStr">
        <is>
          <t>Primario / técnico</t>
        </is>
      </c>
      <c r="L11" s="75" t="inlineStr">
        <is>
          <t>Alta</t>
        </is>
      </c>
      <c r="M11" s="75" t="inlineStr">
        <is>
          <t>Antracnosis</t>
        </is>
      </c>
      <c r="N11" s="75" t="inlineStr">
        <is>
          <t>Sí</t>
        </is>
      </c>
    </row>
    <row r="12" ht="32" customHeight="1" s="34">
      <c r="A12" s="74" t="inlineStr">
        <is>
          <t>B0009</t>
        </is>
      </c>
      <c r="B12" s="74" t="inlineStr">
        <is>
          <t>IEEE Xplore</t>
        </is>
      </c>
      <c r="C12" s="74" t="inlineStr">
        <is>
          <t>Unified Approach for Avocado Leaf Disease Classification: CNN-SVM Fusion</t>
        </is>
      </c>
      <c r="D12" s="74" t="inlineStr"/>
      <c r="E12" s="74" t="inlineStr">
        <is>
          <t>Articulo IEEE especifico de enfermedades de hojas de aguacate. Clasifica Healthy, Anthracnose, Avocado Root Rot, Avocado Sunblotch y Bacterial Canker con fusion CNN-SVM.</t>
        </is>
      </c>
      <c r="F12" s="74" t="inlineStr">
        <is>
          <t>Sí</t>
        </is>
      </c>
      <c r="G12" s="74" t="inlineStr">
        <is>
          <t>Parcial: se definirá en diseño de app móvil</t>
        </is>
      </c>
      <c r="H12" s="74" t="inlineStr">
        <is>
          <t>No</t>
        </is>
      </c>
      <c r="I12" s="74" t="inlineStr">
        <is>
          <t>Sí: aporta método, diagnóstico, clasificación o criterio de revisión</t>
        </is>
      </c>
      <c r="J12" s="74" t="inlineStr">
        <is>
          <t>Sí</t>
        </is>
      </c>
      <c r="K12" s="74" t="inlineStr">
        <is>
          <t>Primario / técnico</t>
        </is>
      </c>
      <c r="L12" s="74" t="inlineStr">
        <is>
          <t>Alta</t>
        </is>
      </c>
      <c r="M12" s="74" t="inlineStr">
        <is>
          <t>Antracnosis</t>
        </is>
      </c>
      <c r="N12" s="74" t="inlineStr">
        <is>
          <t>Sí</t>
        </is>
      </c>
    </row>
    <row r="13" ht="32" customHeight="1" s="34">
      <c r="A13" s="75" t="inlineStr">
        <is>
          <t>B0010</t>
        </is>
      </c>
      <c r="B13" s="75" t="inlineStr">
        <is>
          <t>Scopus</t>
        </is>
      </c>
      <c r="C13" s="75" t="inlineStr">
        <is>
          <t>Real-Time Avocado Plant Health and Disease Detection Using UAV Imagery with Faster R-CNN Algorithm</t>
        </is>
      </c>
      <c r="D13" s="75" t="inlineStr"/>
      <c r="E13" s="75" t="inlineStr"/>
      <c r="F13" s="75" t="inlineStr">
        <is>
          <t>Sí</t>
        </is>
      </c>
      <c r="G13" s="75" t="inlineStr">
        <is>
          <t>Parcial: se definirá en diseño de app móvil</t>
        </is>
      </c>
      <c r="H13" s="75" t="inlineStr">
        <is>
          <t>No</t>
        </is>
      </c>
      <c r="I13" s="75" t="inlineStr">
        <is>
          <t>Sí: aporta método, diagnóstico, clasificación o criterio de revisión</t>
        </is>
      </c>
      <c r="J13" s="75" t="inlineStr">
        <is>
          <t>Sí</t>
        </is>
      </c>
      <c r="K13" s="75" t="inlineStr">
        <is>
          <t>Primario / técnico</t>
        </is>
      </c>
      <c r="L13" s="75" t="inlineStr">
        <is>
          <t>Alta</t>
        </is>
      </c>
      <c r="M13" s="75" t="inlineStr">
        <is>
          <t>Antracnosis</t>
        </is>
      </c>
      <c r="N13" s="75" t="inlineStr">
        <is>
          <t>Sí</t>
        </is>
      </c>
    </row>
    <row r="14" ht="32" customHeight="1" s="34">
      <c r="A14" s="74" t="inlineStr">
        <is>
          <t>B0011</t>
        </is>
      </c>
      <c r="B14" s="74" t="inlineStr">
        <is>
          <t>Springer</t>
        </is>
      </c>
      <c r="C14" s="74" t="inlineStr">
        <is>
          <t>Burkholderia contaminans siderophore‑rich supernatants suppress post‑harvest anthracnose in avocado fruits Coyolxauhqui Barrera‑Galicia1 · Sergio A</t>
        </is>
      </c>
      <c r="D14" s="74" t="inlineStr">
        <is>
          <t>Antracnosis</t>
        </is>
      </c>
      <c r="E14" s="74" t="inlineStr">
        <is>
          <t>Vol.:(0123456789) Applied Microbiology and Biotechnology (2026) 110:35 https://doi.org/10.1007/s00253-026-13715-2 RESEARCH Burkholderia contaminans siderophore‑rich supernatants suppress post‑harvest anthracnose in avocado fruits Coyolxauhqui Barrera‑Galicia1 · Sergio A. Covarrubias1 · Juan Armando Flores de la Torre1 · Héctor A. Peniche‑Pávia3 · John P . Délano‑Frier2 Received: 4 August 2025 / Revised: 7 January 2026 / Accepted: 9 January 2026 © The Author(s) 2026 Abstract Siderophores are iron-chelating secondary metabolites that can effectively control fungal diseases in several agronomically important crops. In the present study, the bacterium Burkholderia contaminans MSR2 was found to profusely accumulate siderophores when grown under iron-limiting conditions. Therefore, subsequent experimental procedures were performed to determine whether the siderophore-rich supernatants of B. contaminans MSR2 were effective against anthracnose disease caused by Colletotrichum gloeosporioides in post-harvest avocado fruits. Dual culture assays performed in vitro showed that B. contaminans MSR2 produced an approximate 25% reduction in the radial mycelial growth of C. gloeosporioides. Moreover, cell-free supernatants (CFSs) with a siderophore concentration of 58.08 mM deferoxamine mesylate equivalent caused a 78% reduction of C. gloeosporioides growth under in vitro conditions. In avocado fruits, siderophore-rich CFSs significantly reduced the severity and incidence of post-harvest a...</t>
        </is>
      </c>
      <c r="F14" s="74" t="inlineStr">
        <is>
          <t>No</t>
        </is>
      </c>
      <c r="G14" s="74" t="inlineStr">
        <is>
          <t>Parcial: se definirá en diseño de app móvil</t>
        </is>
      </c>
      <c r="H14" s="74" t="inlineStr">
        <is>
          <t>No</t>
        </is>
      </c>
      <c r="I14" s="74" t="inlineStr">
        <is>
          <t>Sí: aporta método, diagnóstico, clasificación o criterio de revisión</t>
        </is>
      </c>
      <c r="J14" s="74" t="inlineStr">
        <is>
          <t>Sí</t>
        </is>
      </c>
      <c r="K14" s="74" t="inlineStr">
        <is>
          <t>Primario / técnico</t>
        </is>
      </c>
      <c r="L14" s="74" t="inlineStr">
        <is>
          <t>Alta</t>
        </is>
      </c>
      <c r="M14" s="74" t="inlineStr">
        <is>
          <t>Antracnosis</t>
        </is>
      </c>
      <c r="N14" s="74" t="inlineStr">
        <is>
          <t>Sí</t>
        </is>
      </c>
    </row>
    <row r="15" ht="32" customHeight="1" s="34">
      <c r="A15" s="75" t="inlineStr">
        <is>
          <t>B0012</t>
        </is>
      </c>
      <c r="B15" s="75" t="inlineStr">
        <is>
          <t>Scopus</t>
        </is>
      </c>
      <c r="C15" s="75" t="inlineStr">
        <is>
          <t>Identification and Pathogenicity of Botryosphaeriaceae, Colletotrichum, and Phytophthora Species Associated with Avocado Diseases in Italy</t>
        </is>
      </c>
      <c r="D15" s="75" t="inlineStr"/>
      <c r="E15" s="75" t="inlineStr"/>
      <c r="F15" s="75" t="inlineStr">
        <is>
          <t>No</t>
        </is>
      </c>
      <c r="G15" s="75" t="inlineStr">
        <is>
          <t>Parcial: se definirá en diseño de app móvil</t>
        </is>
      </c>
      <c r="H15" s="75" t="inlineStr">
        <is>
          <t>No</t>
        </is>
      </c>
      <c r="I15" s="75" t="inlineStr">
        <is>
          <t>Sí: aporta método, diagnóstico, clasificación o criterio de revisión</t>
        </is>
      </c>
      <c r="J15" s="75" t="inlineStr">
        <is>
          <t>Sí</t>
        </is>
      </c>
      <c r="K15" s="75" t="inlineStr">
        <is>
          <t>Primario / técnico</t>
        </is>
      </c>
      <c r="L15" s="75" t="inlineStr">
        <is>
          <t>Alta</t>
        </is>
      </c>
      <c r="M15" s="75" t="inlineStr">
        <is>
          <t>Antracnosis</t>
        </is>
      </c>
      <c r="N15" s="75" t="inlineStr">
        <is>
          <t>Sí</t>
        </is>
      </c>
    </row>
    <row r="16" ht="32" customHeight="1" s="34">
      <c r="A16" s="74" t="inlineStr">
        <is>
          <t>B0013</t>
        </is>
      </c>
      <c r="B16" s="74" t="inlineStr">
        <is>
          <t>PDF local</t>
        </is>
      </c>
      <c r="C16" s="74" t="inlineStr">
        <is>
          <t>s41598-026-50025-z</t>
        </is>
      </c>
      <c r="D16" s="74" t="inlineStr">
        <is>
          <t>Antracnosis</t>
        </is>
      </c>
      <c r="E16" s="74" t="inlineStr">
        <is>
          <t>OPEN Scientific Reports | (2026) 16:17129 1| https://doi.org/10.1038/s41598-026-50025-z Spectrally optimised YOLOv10s- SeqOpt framework for real-time UAV-based early detection of avocado foliar diseases in indian orchards R. P . Karthik 1, Murugesan Govindasamy1, Suresh Muthusamy2 &amp; Abhinandan Routray3 Avocado orchards in southern India experience annual yield losses of 20–40% due to foliar pathogens, including Anthracnose (Colletotrichum Gloeosporioides), Root Rot (Phytophthora Cinnamomi), Algal Leaf Spot (Cephaleuros Virescens) and Scab (Elsinoe Perseae). Conventional field scouting and RGB based imaging are unable to detect early-stage infections beneath dense canopy cover, delaying timely intervention and contributing to excessive fungicide use. To address these limitations, this study introduces a UAV based multispectral-RGB imaging pipeline paired with a deep learning detection framework built from the YOLO family of models (YOLOv5s-YOLOv10s) evaluated on a field-collected dataset of 5,953 annotated images comprising 35,422 bounding box instances across four foliar disease classes. A Sequential SGD-AdamW (SeqOpt) optimizer was designed to stabilize gradient dynamics multispectral noise by combining the global exploration capability of SGD in early training phases with the adaptive refinement precision of AdamW in later phases. As a result, SeqOpt achieved an 8% reduction in final loss and a 14% improvement in stability index compared to individual baseline optimiser...</t>
        </is>
      </c>
      <c r="F16" s="74" t="inlineStr">
        <is>
          <t>Sí</t>
        </is>
      </c>
      <c r="G16" s="74" t="inlineStr">
        <is>
          <t>Parcial: se definirá en diseño de app móvil</t>
        </is>
      </c>
      <c r="H16" s="74" t="inlineStr">
        <is>
          <t>No</t>
        </is>
      </c>
      <c r="I16" s="74" t="inlineStr">
        <is>
          <t>Sí: aporta método, diagnóstico, clasificación o criterio de revisión</t>
        </is>
      </c>
      <c r="J16" s="74" t="inlineStr">
        <is>
          <t>Sí</t>
        </is>
      </c>
      <c r="K16" s="74" t="inlineStr">
        <is>
          <t>Primario / técnico</t>
        </is>
      </c>
      <c r="L16" s="74" t="inlineStr">
        <is>
          <t>Alta</t>
        </is>
      </c>
      <c r="M16" s="74" t="inlineStr">
        <is>
          <t>Antracnosis</t>
        </is>
      </c>
      <c r="N16" s="74" t="inlineStr">
        <is>
          <t>Sí</t>
        </is>
      </c>
    </row>
    <row r="17" ht="32" customHeight="1" s="34">
      <c r="A17" s="75" t="inlineStr">
        <is>
          <t>B0014</t>
        </is>
      </c>
      <c r="B17" s="75" t="inlineStr">
        <is>
          <t>PDF local</t>
        </is>
      </c>
      <c r="C17" s="75" t="inlineStr">
        <is>
          <t>Spatial Mapping of Avocado Anthracnose Severity Using UAV-Derived Vegetation Indices in Amazonas, Peru</t>
        </is>
      </c>
      <c r="D17" s="75" t="inlineStr">
        <is>
          <t>Antracnosis</t>
        </is>
      </c>
      <c r="E17" s="75" t="inlineStr">
        <is>
          <t>Academic Editors: Bruno S. Faiçal and Bruno Bogaz Zarpelão Received: 14 January 2026 Revised: 30 July 2026 Accepted: 6 August 2026 Published: 16 August 2026 Copyright: © 2026 by the authors. Licensee MDPI, Basel, Switzerland. This article is an open access article distributed under the terms and conditions of the Creative Commons Attribution (CC BY) license. Article Spatial Mapping of Avocado Anthracnose Severity Using UA V-Derived Vegetation Indices in Amazonas, Peru Marly Guelac-Santillan 1,2,3, * , Julio Puscan-Rojas 3 , José Anderson Sánchez-Vega 3 , Angel Fernando Huaman-Pilco 2,3 , Angel J. Medina-Medina 3 , Katerin M. T uesta-Trauco3 , Jorge Marino Canta-Ventura 3, Elgar Barboza 3,4, * and Jhon A. Zabaleta-Santisteban 3 1 Grupo de Investigación en Patología Intracelular de Plantas, Instituto de Investigación para el Desarrollo Sustentable de Ceja de Selva, Universidad Nacional Toribio Rodríguez de Mendoza de Amazonas, Chachapoyas 01001, Peru 2 Grupo de Investigación en Raíces y Tuberosas (GIRT), Centro de Investigación en Germoplasma Vegetal y Mejoramiento Genético de Plantas (CIGEMP), Universidad Nacional Toribio Rodríguez de Mendoza de Amazonas, Chachapoyas 01001, Peru; angel.huaman@untrm.edu.pe 3 Instituto de Investigación para el Desarrollo Sustentable de Ceja de Selva, Universidad Nacional Toribio Rodríguez de Mendoza de Amazonas, Chachapoyas 01001, Peru; 7278447092@untrm.edu.pe (J.P .-R.); 7246207471@untrm.edu.pe (J.A.S.-V .); angel.medina@untrm.edu.pe (A.J.M....</t>
        </is>
      </c>
      <c r="F17" s="75" t="inlineStr">
        <is>
          <t>Sí</t>
        </is>
      </c>
      <c r="G17" s="75" t="inlineStr">
        <is>
          <t>Parcial: se definirá en diseño de app móvil</t>
        </is>
      </c>
      <c r="H17" s="75" t="inlineStr">
        <is>
          <t>No</t>
        </is>
      </c>
      <c r="I17" s="75" t="inlineStr">
        <is>
          <t>Sí: aporta método, diagnóstico, clasificación o criterio de revisión</t>
        </is>
      </c>
      <c r="J17" s="75" t="inlineStr">
        <is>
          <t>Sí</t>
        </is>
      </c>
      <c r="K17" s="75" t="inlineStr">
        <is>
          <t>Primario / técnico</t>
        </is>
      </c>
      <c r="L17" s="75" t="inlineStr">
        <is>
          <t>Alta</t>
        </is>
      </c>
      <c r="M17" s="75" t="inlineStr">
        <is>
          <t>Antracnosis</t>
        </is>
      </c>
      <c r="N17" s="75" t="inlineStr">
        <is>
          <t>Sí</t>
        </is>
      </c>
    </row>
    <row r="18" ht="32" customHeight="1" s="34">
      <c r="A18" s="74" t="inlineStr">
        <is>
          <t>B0015</t>
        </is>
      </c>
      <c r="B18" s="74" t="inlineStr">
        <is>
          <t>Scopus</t>
        </is>
      </c>
      <c r="C18" s="74" t="inlineStr">
        <is>
          <t>Spatial Mapping of Avocado Anthracnose Severity Using UAV-Derived Vegetation Indices in Amazonas, Peru</t>
        </is>
      </c>
      <c r="D18" s="74" t="inlineStr"/>
      <c r="E18" s="74" t="inlineStr"/>
      <c r="F18" s="74" t="inlineStr">
        <is>
          <t>Sí</t>
        </is>
      </c>
      <c r="G18" s="74" t="inlineStr">
        <is>
          <t>Parcial: se definirá en diseño de app móvil</t>
        </is>
      </c>
      <c r="H18" s="74" t="inlineStr">
        <is>
          <t>No</t>
        </is>
      </c>
      <c r="I18" s="74" t="inlineStr">
        <is>
          <t>Sí: aporta método, diagnóstico, clasificación o criterio de revisión</t>
        </is>
      </c>
      <c r="J18" s="74" t="inlineStr">
        <is>
          <t>Sí</t>
        </is>
      </c>
      <c r="K18" s="74" t="inlineStr">
        <is>
          <t>Primario / técnico</t>
        </is>
      </c>
      <c r="L18" s="74" t="inlineStr">
        <is>
          <t>Alta</t>
        </is>
      </c>
      <c r="M18" s="74" t="inlineStr">
        <is>
          <t>Antracnosis</t>
        </is>
      </c>
      <c r="N18" s="74" t="inlineStr">
        <is>
          <t>Sí</t>
        </is>
      </c>
    </row>
    <row r="19" ht="32" customHeight="1" s="34">
      <c r="A19" s="75" t="inlineStr">
        <is>
          <t>B0016</t>
        </is>
      </c>
      <c r="B19" s="75" t="inlineStr">
        <is>
          <t>IEEE Xplore</t>
        </is>
      </c>
      <c r="C19" s="75" t="inlineStr">
        <is>
          <t>CNN-Based Plant Leaf Disease Identification and Classification for Sustainable Agriculture</t>
        </is>
      </c>
      <c r="D19" s="75" t="inlineStr">
        <is>
          <t>Apoyo metodológico</t>
        </is>
      </c>
      <c r="E19" s="75" t="inlineStr">
        <is>
          <t>https://ieeexplore.ieee.org/document/10883522/</t>
        </is>
      </c>
      <c r="F19" s="75" t="inlineStr">
        <is>
          <t>Sí</t>
        </is>
      </c>
      <c r="G19" s="75" t="inlineStr">
        <is>
          <t>Parcial: se definirá en diseño de app móvil</t>
        </is>
      </c>
      <c r="H19" s="75" t="inlineStr">
        <is>
          <t>No</t>
        </is>
      </c>
      <c r="I19" s="75" t="inlineStr">
        <is>
          <t>Sí: aporta método, diagnóstico, clasificación o criterio de revisión</t>
        </is>
      </c>
      <c r="J19" s="75" t="inlineStr">
        <is>
          <t>Sí</t>
        </is>
      </c>
      <c r="K19" s="75" t="inlineStr">
        <is>
          <t>Primario / técnico</t>
        </is>
      </c>
      <c r="L19" s="75" t="inlineStr">
        <is>
          <t>Media</t>
        </is>
      </c>
      <c r="M19" s="75" t="inlineStr">
        <is>
          <t>Apoyo metodológico</t>
        </is>
      </c>
      <c r="N19" s="75" t="inlineStr">
        <is>
          <t>Sí</t>
        </is>
      </c>
    </row>
    <row r="20" ht="32" customHeight="1" s="34">
      <c r="A20" s="74" t="inlineStr">
        <is>
          <t>B0017</t>
        </is>
      </c>
      <c r="B20" s="74" t="inlineStr">
        <is>
          <t>IEEE Xplore</t>
        </is>
      </c>
      <c r="C20" s="74" t="inlineStr">
        <is>
          <t>Crop Disease Prediction System</t>
        </is>
      </c>
      <c r="D20" s="74" t="inlineStr">
        <is>
          <t>Apoyo metodológico</t>
        </is>
      </c>
      <c r="E20" s="74" t="inlineStr">
        <is>
          <t>https://ieeexplore.ieee.org/abstract/document/11582865</t>
        </is>
      </c>
      <c r="F20" s="74" t="inlineStr">
        <is>
          <t>No</t>
        </is>
      </c>
      <c r="G20" s="74" t="inlineStr">
        <is>
          <t>Parcial: se definirá en diseño de app móvil</t>
        </is>
      </c>
      <c r="H20" s="74" t="inlineStr">
        <is>
          <t>No</t>
        </is>
      </c>
      <c r="I20" s="74" t="inlineStr">
        <is>
          <t>Sí: aporta método, diagnóstico, clasificación o criterio de revisión</t>
        </is>
      </c>
      <c r="J20" s="74" t="inlineStr">
        <is>
          <t>No</t>
        </is>
      </c>
      <c r="K20" s="74" t="inlineStr">
        <is>
          <t>Primario / técnico</t>
        </is>
      </c>
      <c r="L20" s="74" t="inlineStr">
        <is>
          <t>Baja</t>
        </is>
      </c>
      <c r="M20" s="74" t="inlineStr">
        <is>
          <t>Apoyo metodológico</t>
        </is>
      </c>
      <c r="N20" s="74" t="inlineStr">
        <is>
          <t>No</t>
        </is>
      </c>
    </row>
    <row r="21" ht="32" customHeight="1" s="34">
      <c r="A21" s="75" t="inlineStr">
        <is>
          <t>B0018</t>
        </is>
      </c>
      <c r="B21" s="75" t="inlineStr">
        <is>
          <t>IEEE Xplore</t>
        </is>
      </c>
      <c r="C21" s="75" t="inlineStr">
        <is>
          <t>Image-Based Plant Leaf Disease Detection using Deep Learning</t>
        </is>
      </c>
      <c r="D21" s="75" t="inlineStr">
        <is>
          <t>Apoyo metodológico</t>
        </is>
      </c>
      <c r="E21" s="75" t="inlineStr">
        <is>
          <t>https://ieeexplore.ieee.org/document/10627918/</t>
        </is>
      </c>
      <c r="F21" s="75" t="inlineStr">
        <is>
          <t>Sí</t>
        </is>
      </c>
      <c r="G21" s="75" t="inlineStr">
        <is>
          <t>Parcial: se definirá en diseño de app móvil</t>
        </is>
      </c>
      <c r="H21" s="75" t="inlineStr">
        <is>
          <t>No</t>
        </is>
      </c>
      <c r="I21" s="75" t="inlineStr">
        <is>
          <t>Sí: aporta método, diagnóstico, clasificación o criterio de revisión</t>
        </is>
      </c>
      <c r="J21" s="75" t="inlineStr">
        <is>
          <t>Sí</t>
        </is>
      </c>
      <c r="K21" s="75" t="inlineStr">
        <is>
          <t>Primario / técnico</t>
        </is>
      </c>
      <c r="L21" s="75" t="inlineStr">
        <is>
          <t>Media</t>
        </is>
      </c>
      <c r="M21" s="75" t="inlineStr">
        <is>
          <t>Apoyo metodológico</t>
        </is>
      </c>
      <c r="N21" s="75" t="inlineStr">
        <is>
          <t>Sí</t>
        </is>
      </c>
    </row>
    <row r="22" ht="32" customHeight="1" s="34">
      <c r="A22" s="74" t="inlineStr">
        <is>
          <t>B0019</t>
        </is>
      </c>
      <c r="B22" s="74" t="inlineStr">
        <is>
          <t>IEEE Xplore</t>
        </is>
      </c>
      <c r="C22" s="74" t="inlineStr">
        <is>
          <t>Plant Disease Detection Using Deep Learning</t>
        </is>
      </c>
      <c r="D22" s="74" t="inlineStr">
        <is>
          <t>Apoyo metodológico</t>
        </is>
      </c>
      <c r="E22" s="74" t="inlineStr">
        <is>
          <t>https://ieeexplore.ieee.org/document/9417910/</t>
        </is>
      </c>
      <c r="F22" s="74" t="inlineStr">
        <is>
          <t>Sí</t>
        </is>
      </c>
      <c r="G22" s="74" t="inlineStr">
        <is>
          <t>Parcial: se definirá en diseño de app móvil</t>
        </is>
      </c>
      <c r="H22" s="74" t="inlineStr">
        <is>
          <t>No</t>
        </is>
      </c>
      <c r="I22" s="74" t="inlineStr">
        <is>
          <t>Sí: aporta método, diagnóstico, clasificación o criterio de revisión</t>
        </is>
      </c>
      <c r="J22" s="74" t="inlineStr">
        <is>
          <t>Sí</t>
        </is>
      </c>
      <c r="K22" s="74" t="inlineStr">
        <is>
          <t>Primario / técnico</t>
        </is>
      </c>
      <c r="L22" s="74" t="inlineStr">
        <is>
          <t>Media</t>
        </is>
      </c>
      <c r="M22" s="74" t="inlineStr">
        <is>
          <t>Apoyo metodológico</t>
        </is>
      </c>
      <c r="N22" s="74" t="inlineStr">
        <is>
          <t>Sí</t>
        </is>
      </c>
    </row>
    <row r="23" ht="32" customHeight="1" s="34">
      <c r="A23" s="75" t="inlineStr">
        <is>
          <t>B0020</t>
        </is>
      </c>
      <c r="B23" s="75" t="inlineStr">
        <is>
          <t>IEEE Xplore</t>
        </is>
      </c>
      <c r="C23" s="75" t="inlineStr">
        <is>
          <t>Real-Time Detection and Identification of Plant Leaf Diseases using YOLOv4-tiny</t>
        </is>
      </c>
      <c r="D23" s="75" t="inlineStr">
        <is>
          <t>Apoyo metodológico</t>
        </is>
      </c>
      <c r="E23" s="75" t="inlineStr">
        <is>
          <t>https://ieeexplore.ieee.org/document/9579783/</t>
        </is>
      </c>
      <c r="F23" s="75" t="inlineStr">
        <is>
          <t>Sí</t>
        </is>
      </c>
      <c r="G23" s="75" t="inlineStr">
        <is>
          <t>Parcial: se definirá en diseño de app móvil</t>
        </is>
      </c>
      <c r="H23" s="75" t="inlineStr">
        <is>
          <t>No</t>
        </is>
      </c>
      <c r="I23" s="75" t="inlineStr">
        <is>
          <t>Sí: aporta método, diagnóstico, clasificación o criterio de revisión</t>
        </is>
      </c>
      <c r="J23" s="75" t="inlineStr">
        <is>
          <t>Sí</t>
        </is>
      </c>
      <c r="K23" s="75" t="inlineStr">
        <is>
          <t>Primario / técnico</t>
        </is>
      </c>
      <c r="L23" s="75" t="inlineStr">
        <is>
          <t>Media</t>
        </is>
      </c>
      <c r="M23" s="75" t="inlineStr">
        <is>
          <t>Apoyo metodológico</t>
        </is>
      </c>
      <c r="N23" s="75" t="inlineStr">
        <is>
          <t>Sí</t>
        </is>
      </c>
    </row>
    <row r="24" ht="32" customHeight="1" s="34">
      <c r="A24" s="74" t="inlineStr">
        <is>
          <t>B0021</t>
        </is>
      </c>
      <c r="B24" s="74" t="inlineStr">
        <is>
          <t>PDF local</t>
        </is>
      </c>
      <c r="C24" s="74" t="inlineStr">
        <is>
          <t>Simultaneously prediction of multiple wheat leaf phenotypes using hyperspectral imaging with multi-task machine and deep learning</t>
        </is>
      </c>
      <c r="D24" s="74" t="inlineStr">
        <is>
          <t>Apoyo metodológico</t>
        </is>
      </c>
      <c r="E24" s="74" t="inlineStr">
        <is>
          <t>Simultaneously prediction of multiple wheat leaf phenotypes using hyperspectral imaging with multi-task machine and deep learning Xiaoyu Fu a , Lili Yao a , Xincheng Zhang b , Yuxin Xiao a , Kai Gao a , Wenjie Liu a , Qinfeng Zhang a , Hengnian Qi a , Chu Zhang a , * , Yiying Zhao c , * a School of Information Engineering, Huzhou Normal University, Huzhou 313000, China b Institute of Crop Science, Huzhou Academy of Agricultural Sciences, Huzhou 313000, China c Institute of Digital Agriculture, Zhejiang Academy of Agricultural Sciences, Hangzhou 310021, China HIGHLIGHTS GRAPHICAL ABSTRACT • Wheat variety, water content and SPAD were predicted by hyperspectral imaging. • Single-task models performed well on regression and classification of phenotypes. • Multi-task models performed well on classification and regression of phenotypes. • Different loss function of multi-task deep learning models showed prom - ising results. ARTICLE INFO Keywords: Hyperspectral imaging Multi-task learning Wheat varieties SPAD Leaf moisture content ABSTRACT Chlorophyll content (represented by the Soil and Plant Analyzer Development (SPAD) value) and leaf moisture content (LMC) are two key physiological phenotypic traits during wheat growth, and their variations among different wheat varieties reflect crop growth, stress response, and breeding evaluation. Simultaneous identifi - cation of wheat varieties and prediction of SPAD and LMC are therefore important for precision crop monitoring. In this...</t>
        </is>
      </c>
      <c r="F24" s="74" t="inlineStr">
        <is>
          <t>Sí</t>
        </is>
      </c>
      <c r="G24" s="74" t="inlineStr">
        <is>
          <t>Parcial: se definirá en diseño de app móvil</t>
        </is>
      </c>
      <c r="H24" s="74" t="inlineStr">
        <is>
          <t>No</t>
        </is>
      </c>
      <c r="I24" s="74" t="inlineStr">
        <is>
          <t>Sí: aporta método, diagnóstico, clasificación o criterio de revisión</t>
        </is>
      </c>
      <c r="J24" s="74" t="inlineStr">
        <is>
          <t>Sí</t>
        </is>
      </c>
      <c r="K24" s="74" t="inlineStr">
        <is>
          <t>Primario / técnico</t>
        </is>
      </c>
      <c r="L24" s="74" t="inlineStr">
        <is>
          <t>Media</t>
        </is>
      </c>
      <c r="M24" s="74" t="inlineStr">
        <is>
          <t>Apoyo metodológico</t>
        </is>
      </c>
      <c r="N24" s="74" t="inlineStr">
        <is>
          <t>Sí</t>
        </is>
      </c>
    </row>
    <row r="25" ht="32" customHeight="1" s="34">
      <c r="A25" s="75" t="inlineStr">
        <is>
          <t>B0022</t>
        </is>
      </c>
      <c r="B25" s="75" t="inlineStr">
        <is>
          <t>PDF local</t>
        </is>
      </c>
      <c r="C25" s="75" t="inlineStr">
        <is>
          <t>Mitigating negative effects of long-term treated wastewater irrigation: Leaf gas exchange and water use efficiency response of avocado trees ( Persea americana Mill.)</t>
        </is>
      </c>
      <c r="D25" s="75" t="inlineStr">
        <is>
          <t>Apoyo metodológico</t>
        </is>
      </c>
      <c r="E25" s="75" t="inlineStr">
        <is>
          <t>Agricultural Water Management 256 (2021) 107126 Available online 21 August 2021 0378-3774/© 2021 Elsevier B.V. All rights reserved. Mitigating negative effects of long-term treated wastewater irrigation: Leaf gas exchange and water use efficiency response of avocado trees ( Persea americana Mill.) Diriba Bane Nemera a , b , * , Asher Bar-Tal a , Guy J. Levy a , Jorge Tarchitzky b , Ido Rog c , Tamir Klein c , Shabtai Cohen a a Institute of Soil, Water and Environmental Sciences, ARO Volcani Centre, Israel b The Robert H. Smith Faculty of Agriculture, Food and Environment, The Hebrew University of Jerusalem, Israel c Department of Earth and Planetary Sciences, Weizmann Institute of Science, Israel ARTICLE INFO Handling Editor - Dr. B.E. Clothier Keywords: Stomatal conductance Net assimilation rate Transpiration rate Leaf hydraulic conductance : Leaf water potential ABSTRACT Declining performance of avocado orchards growing in a clayey soil irrigated with treated wastewater (TWW) for more than 5 years has been observed in Israel. Measures studied to mitigate this were freshwater (FW), blended TWW:FW in a 1:1 ratio (MIX), low-frequency TWW-irrigation (LFI), TWW irrigated tuff trenches (TUF) and TWW as the control treatment. This study reports on the response of avocado leaf gas exchange, intrinsic water use efficiency, leaf water potential and leaf hydraulic conductance ( K leaf ) to the mitigation measures applied to a ’ Hass ’ avocado orchard ( Persea americana Mill.) previ...</t>
        </is>
      </c>
      <c r="F25" s="75" t="inlineStr">
        <is>
          <t>No</t>
        </is>
      </c>
      <c r="G25" s="75" t="inlineStr">
        <is>
          <t>Parcial: se definirá en diseño de app móvil</t>
        </is>
      </c>
      <c r="H25" s="75" t="inlineStr">
        <is>
          <t>No</t>
        </is>
      </c>
      <c r="I25" s="75" t="inlineStr">
        <is>
          <t>Sí: aporta método, diagnóstico, clasificación o criterio de revisión</t>
        </is>
      </c>
      <c r="J25" s="75" t="inlineStr">
        <is>
          <t>Sí</t>
        </is>
      </c>
      <c r="K25" s="75" t="inlineStr">
        <is>
          <t>Primario / técnico</t>
        </is>
      </c>
      <c r="L25" s="75" t="inlineStr">
        <is>
          <t>Media</t>
        </is>
      </c>
      <c r="M25" s="75" t="inlineStr">
        <is>
          <t>Apoyo metodológico</t>
        </is>
      </c>
      <c r="N25" s="75" t="inlineStr">
        <is>
          <t>Sí</t>
        </is>
      </c>
    </row>
    <row r="26" ht="32" customHeight="1" s="34">
      <c r="A26" s="74" t="inlineStr">
        <is>
          <t>B0023</t>
        </is>
      </c>
      <c r="B26" s="74" t="inlineStr">
        <is>
          <t>IEEE Xplore</t>
        </is>
      </c>
      <c r="C26" s="74" t="inlineStr">
        <is>
          <t>Plant Disease Detection Using Deep Learning</t>
        </is>
      </c>
      <c r="D26" s="74" t="inlineStr"/>
      <c r="E26" s="74" t="inlineStr">
        <is>
          <t>Compara enfoques CNN y transformer para deteccion de enfermedades vegetales.</t>
        </is>
      </c>
      <c r="F26" s="74" t="inlineStr">
        <is>
          <t>Sí</t>
        </is>
      </c>
      <c r="G26" s="74" t="inlineStr">
        <is>
          <t>Parcial: se definirá en diseño de app móvil</t>
        </is>
      </c>
      <c r="H26" s="74" t="inlineStr">
        <is>
          <t>No</t>
        </is>
      </c>
      <c r="I26" s="74" t="inlineStr">
        <is>
          <t>Sí: aporta método, diagnóstico, clasificación o criterio de revisión</t>
        </is>
      </c>
      <c r="J26" s="74" t="inlineStr">
        <is>
          <t>Sí</t>
        </is>
      </c>
      <c r="K26" s="74" t="inlineStr">
        <is>
          <t>Primario / técnico</t>
        </is>
      </c>
      <c r="L26" s="74" t="inlineStr">
        <is>
          <t>Media</t>
        </is>
      </c>
      <c r="M26" s="74" t="inlineStr">
        <is>
          <t>Apoyo metodológico</t>
        </is>
      </c>
      <c r="N26" s="74" t="inlineStr">
        <is>
          <t>Sí</t>
        </is>
      </c>
    </row>
    <row r="27" ht="32" customHeight="1" s="34">
      <c r="A27" s="75" t="inlineStr">
        <is>
          <t>B0024</t>
        </is>
      </c>
      <c r="B27" s="75" t="inlineStr">
        <is>
          <t>IEEE Xplore</t>
        </is>
      </c>
      <c r="C27" s="75" t="inlineStr">
        <is>
          <t>Real-Time Detection and Identification of Plant Leaf Diseases using YOLOv4-tiny</t>
        </is>
      </c>
      <c r="D27" s="75" t="inlineStr"/>
      <c r="E27" s="75" t="inlineStr">
        <is>
          <t>Antecedente metodologico para deteccion en tiempo real de enfermedades foliares con YOLOv4-tiny.</t>
        </is>
      </c>
      <c r="F27" s="75" t="inlineStr">
        <is>
          <t>Sí</t>
        </is>
      </c>
      <c r="G27" s="75" t="inlineStr">
        <is>
          <t>Parcial: se definirá en diseño de app móvil</t>
        </is>
      </c>
      <c r="H27" s="75" t="inlineStr">
        <is>
          <t>No</t>
        </is>
      </c>
      <c r="I27" s="75" t="inlineStr">
        <is>
          <t>Sí: aporta método, diagnóstico, clasificación o criterio de revisión</t>
        </is>
      </c>
      <c r="J27" s="75" t="inlineStr">
        <is>
          <t>Sí</t>
        </is>
      </c>
      <c r="K27" s="75" t="inlineStr">
        <is>
          <t>Primario / técnico</t>
        </is>
      </c>
      <c r="L27" s="75" t="inlineStr">
        <is>
          <t>Media</t>
        </is>
      </c>
      <c r="M27" s="75" t="inlineStr">
        <is>
          <t>Apoyo metodológico</t>
        </is>
      </c>
      <c r="N27" s="75" t="inlineStr">
        <is>
          <t>Sí</t>
        </is>
      </c>
    </row>
    <row r="28" ht="32" customHeight="1" s="34">
      <c r="A28" s="74" t="inlineStr">
        <is>
          <t>B0025</t>
        </is>
      </c>
      <c r="B28" s="74" t="inlineStr">
        <is>
          <t>PDF local</t>
        </is>
      </c>
      <c r="C28" s="74" t="inlineStr">
        <is>
          <t>Implementation of Deep Learning for Image-Based Potato Leaf Disease Detection</t>
        </is>
      </c>
      <c r="D28" s="74" t="inlineStr">
        <is>
          <t>Apoyo metodológico</t>
        </is>
      </c>
      <c r="E28" s="74" t="inlineStr">
        <is>
          <t>11 VI June 2023 https://doi.org/10.22214/ijraset.2023.53806 International Journal for Research in Applied Science &amp; Engineering Technology (IJRASET) ISSN: 2321-9653; IC Value: 45.98; SJ Impact Factor: 7.538 Volume 11 Issue VI Jun 2023- Available at www.ijraset.com 393 ©IJRASET: All Rights are Reserved | SJ Impact Factor 7.538 | ISRA Journal Impact Factor 7.894 | 3938 Implementation of Deep Learning for Image-Based Potato Leaf Disease Detection K Sharath Chandra1, K Varun2, L Rakesh3, L Ashrith4 1, 2, 3, 4Artificial Intelligence &amp; Machine Learning, Malla Reddy University Abstract: Crop Potato is one of the most important food crops worldwide, and potato tuber diseases can cause signif icant economic losses to farmers and affect food security. Early detection and timely management of potato tuber diseases are critical for reducing losses and increasing crop yields. However, traditional methods of disease detection re ly heavily on visual inspection by trained experts, which can be time-consuming, subjective, and prone to errors. The use of deep learning for image- based potato tuber disease detection offers several advantages over traditional methods. First, it i s a non -invasive and non - destructive approach, which means that the potatoes can be inspected without damaging them. Second, it can pr ovide objective and consistent results, which can reduce the variability of disease diagnosis among different expert s. Third, deep learning models can proce ss large amounts of d...</t>
        </is>
      </c>
      <c r="F28" s="74" t="inlineStr">
        <is>
          <t>Sí</t>
        </is>
      </c>
      <c r="G28" s="74" t="inlineStr">
        <is>
          <t>Parcial: se definirá en diseño de app móvil</t>
        </is>
      </c>
      <c r="H28" s="74" t="inlineStr">
        <is>
          <t>No</t>
        </is>
      </c>
      <c r="I28" s="74" t="inlineStr">
        <is>
          <t>Sí: aporta método, diagnóstico, clasificación o criterio de revisión</t>
        </is>
      </c>
      <c r="J28" s="74" t="inlineStr">
        <is>
          <t>Sí</t>
        </is>
      </c>
      <c r="K28" s="74" t="inlineStr">
        <is>
          <t>Primario / técnico</t>
        </is>
      </c>
      <c r="L28" s="74" t="inlineStr">
        <is>
          <t>Media</t>
        </is>
      </c>
      <c r="M28" s="74" t="inlineStr">
        <is>
          <t>Apoyo metodológico</t>
        </is>
      </c>
      <c r="N28" s="74" t="inlineStr">
        <is>
          <t>Sí</t>
        </is>
      </c>
    </row>
    <row r="29" ht="32" customHeight="1" s="34">
      <c r="A29" s="75" t="inlineStr">
        <is>
          <t>B0026</t>
        </is>
      </c>
      <c r="B29" s="75" t="inlineStr">
        <is>
          <t>IEEE Xplore</t>
        </is>
      </c>
      <c r="C29" s="75" t="inlineStr">
        <is>
          <t>Image-Based Plant Leaf Disease Detection using Deep Learning</t>
        </is>
      </c>
      <c r="D29" s="75" t="inlineStr"/>
      <c r="E29" s="75" t="inlineStr">
        <is>
          <t>Usa ensemble de ResNet, MobileNetV2 y EfficientNet con Grad-CAM. Es comparable para justificar explicabilidad y transferencia a aguacate.</t>
        </is>
      </c>
      <c r="F29" s="75" t="inlineStr">
        <is>
          <t>Sí</t>
        </is>
      </c>
      <c r="G29" s="75" t="inlineStr">
        <is>
          <t>Parcial: se definirá en diseño de app móvil</t>
        </is>
      </c>
      <c r="H29" s="75" t="inlineStr">
        <is>
          <t>Sí</t>
        </is>
      </c>
      <c r="I29" s="75" t="inlineStr">
        <is>
          <t>Sí: aporta método, diagnóstico, clasificación o criterio de revisión</t>
        </is>
      </c>
      <c r="J29" s="75" t="inlineStr">
        <is>
          <t>Sí</t>
        </is>
      </c>
      <c r="K29" s="75" t="inlineStr">
        <is>
          <t>Primario / técnico</t>
        </is>
      </c>
      <c r="L29" s="75" t="inlineStr">
        <is>
          <t>Media</t>
        </is>
      </c>
      <c r="M29" s="75" t="inlineStr">
        <is>
          <t>Apoyo metodológico</t>
        </is>
      </c>
      <c r="N29" s="75" t="inlineStr">
        <is>
          <t>Sí</t>
        </is>
      </c>
    </row>
    <row r="30" ht="32" customHeight="1" s="34">
      <c r="A30" s="74" t="inlineStr">
        <is>
          <t>B0027</t>
        </is>
      </c>
      <c r="B30" s="74" t="inlineStr">
        <is>
          <t>IEEE Xplore</t>
        </is>
      </c>
      <c r="C30" s="74" t="inlineStr">
        <is>
          <t>Plant Leaf Disease Detection, Classification, and Diagnosis Using Computer Vision and Artificial Intelligence: A Review</t>
        </is>
      </c>
      <c r="D30" s="74" t="inlineStr"/>
      <c r="E30" s="74" t="inlineStr">
        <is>
          <t>Revision amplia y de acceso abierto bajo licencia Creative Commons sobre deteccion, clasificacion y diagnostico de enfermedades foliares.</t>
        </is>
      </c>
      <c r="F30" s="74" t="inlineStr">
        <is>
          <t>Sí</t>
        </is>
      </c>
      <c r="G30" s="74" t="inlineStr">
        <is>
          <t>Parcial: se definirá en diseño de app móvil</t>
        </is>
      </c>
      <c r="H30" s="74" t="inlineStr">
        <is>
          <t>No</t>
        </is>
      </c>
      <c r="I30" s="74" t="inlineStr">
        <is>
          <t>Sí: aporta método, diagnóstico, clasificación o criterio de revisión</t>
        </is>
      </c>
      <c r="J30" s="74" t="inlineStr">
        <is>
          <t>Sí</t>
        </is>
      </c>
      <c r="K30" s="74" t="inlineStr">
        <is>
          <t>Revisión</t>
        </is>
      </c>
      <c r="L30" s="74" t="inlineStr">
        <is>
          <t>Media</t>
        </is>
      </c>
      <c r="M30" s="74" t="inlineStr">
        <is>
          <t>Apoyo metodológico</t>
        </is>
      </c>
      <c r="N30" s="74" t="inlineStr">
        <is>
          <t>Sí</t>
        </is>
      </c>
    </row>
    <row r="31" ht="32" customHeight="1" s="34">
      <c r="A31" s="75" t="inlineStr">
        <is>
          <t>B0028</t>
        </is>
      </c>
      <c r="B31" s="75" t="inlineStr">
        <is>
          <t>IEEE Xplore</t>
        </is>
      </c>
      <c r="C31" s="75" t="inlineStr">
        <is>
          <t>CNN-Based Plant Leaf Disease Identification and Classification for Sustainable Agriculture</t>
        </is>
      </c>
      <c r="D31" s="75" t="inlineStr"/>
      <c r="E31" s="75" t="inlineStr">
        <is>
          <t>Antecedente general para clasificacion automatica de enfermedades foliares mediante CNN.</t>
        </is>
      </c>
      <c r="F31" s="75" t="inlineStr">
        <is>
          <t>Sí</t>
        </is>
      </c>
      <c r="G31" s="75" t="inlineStr">
        <is>
          <t>Parcial: se definirá en diseño de app móvil</t>
        </is>
      </c>
      <c r="H31" s="75" t="inlineStr">
        <is>
          <t>No</t>
        </is>
      </c>
      <c r="I31" s="75" t="inlineStr">
        <is>
          <t>Sí: aporta método, diagnóstico, clasificación o criterio de revisión</t>
        </is>
      </c>
      <c r="J31" s="75" t="inlineStr">
        <is>
          <t>Sí</t>
        </is>
      </c>
      <c r="K31" s="75" t="inlineStr">
        <is>
          <t>Primario / técnico</t>
        </is>
      </c>
      <c r="L31" s="75" t="inlineStr">
        <is>
          <t>Media</t>
        </is>
      </c>
      <c r="M31" s="75" t="inlineStr">
        <is>
          <t>Apoyo metodológico</t>
        </is>
      </c>
      <c r="N31" s="75" t="inlineStr">
        <is>
          <t>Sí</t>
        </is>
      </c>
    </row>
    <row r="32" ht="32" customHeight="1" s="34">
      <c r="A32" s="74" t="inlineStr">
        <is>
          <t>B0029</t>
        </is>
      </c>
      <c r="B32" s="74" t="inlineStr">
        <is>
          <t>IEEE Xplore</t>
        </is>
      </c>
      <c r="C32" s="74" t="inlineStr">
        <is>
          <t>Crop Disease Prediction System</t>
        </is>
      </c>
      <c r="D32" s="74" t="inlineStr"/>
      <c r="E32" s="74" t="inlineStr">
        <is>
          <t>Sistema con CNN y aplicacion movil. Sirve como antecedente de despliegue practico.</t>
        </is>
      </c>
      <c r="F32" s="74" t="inlineStr">
        <is>
          <t>Sí</t>
        </is>
      </c>
      <c r="G32" s="74" t="inlineStr">
        <is>
          <t>Parcial: se definirá en diseño de app móvil</t>
        </is>
      </c>
      <c r="H32" s="74" t="inlineStr">
        <is>
          <t>No</t>
        </is>
      </c>
      <c r="I32" s="74" t="inlineStr">
        <is>
          <t>Sí: aporta método, diagnóstico, clasificación o criterio de revisión</t>
        </is>
      </c>
      <c r="J32" s="74" t="inlineStr">
        <is>
          <t>No</t>
        </is>
      </c>
      <c r="K32" s="74" t="inlineStr">
        <is>
          <t>Primario / técnico</t>
        </is>
      </c>
      <c r="L32" s="74" t="inlineStr">
        <is>
          <t>Baja</t>
        </is>
      </c>
      <c r="M32" s="74" t="inlineStr">
        <is>
          <t>Apoyo metodológico</t>
        </is>
      </c>
      <c r="N32" s="74" t="inlineStr">
        <is>
          <t>No</t>
        </is>
      </c>
    </row>
    <row r="33" ht="32" customHeight="1" s="34">
      <c r="A33" s="75" t="inlineStr">
        <is>
          <t>B0030</t>
        </is>
      </c>
      <c r="B33" s="75" t="inlineStr">
        <is>
          <t>Web / DOI</t>
        </is>
      </c>
      <c r="C33" s="75" t="inlineStr">
        <is>
          <t>06 Arana roja Oligonychus punicae Oliveira 2021</t>
        </is>
      </c>
      <c r="D33" s="75" t="inlineStr">
        <is>
          <t>Araña roja</t>
        </is>
      </c>
      <c r="E33" s="75" t="inlineStr">
        <is>
          <t>https://doi.org/10.1093/jee/toab029</t>
        </is>
      </c>
      <c r="F33" s="75" t="inlineStr">
        <is>
          <t>No</t>
        </is>
      </c>
      <c r="G33" s="75" t="inlineStr">
        <is>
          <t>Parcial: se definirá en diseño de app móvil</t>
        </is>
      </c>
      <c r="H33" s="75" t="inlineStr">
        <is>
          <t>No</t>
        </is>
      </c>
      <c r="I33" s="75" t="inlineStr">
        <is>
          <t>Sí: aporta método, diagnóstico, clasificación o criterio de revisión</t>
        </is>
      </c>
      <c r="J33" s="75" t="inlineStr">
        <is>
          <t>No</t>
        </is>
      </c>
      <c r="K33" s="75" t="inlineStr">
        <is>
          <t>Primario / técnico</t>
        </is>
      </c>
      <c r="L33" s="75" t="inlineStr">
        <is>
          <t>Baja</t>
        </is>
      </c>
      <c r="M33" s="75" t="inlineStr">
        <is>
          <t>Araña roja</t>
        </is>
      </c>
      <c r="N33" s="75" t="inlineStr">
        <is>
          <t>No</t>
        </is>
      </c>
    </row>
    <row r="34" ht="32" customHeight="1" s="34">
      <c r="A34" s="74" t="inlineStr">
        <is>
          <t>B0031</t>
        </is>
      </c>
      <c r="B34" s="74" t="inlineStr">
        <is>
          <t>Scopus</t>
        </is>
      </c>
      <c r="C34" s="74" t="inlineStr">
        <is>
          <t>BIOLOGICAL PEST CONTROL OF THE TETRANYCHID MITE OLIGONYCHUS PERSEAE IN AVOCADO AND CHALLENGES TO FACE IN A CLIMATE CHANGE SCENARIO</t>
        </is>
      </c>
      <c r="D34" s="74" t="inlineStr"/>
      <c r="E34" s="74" t="inlineStr"/>
      <c r="F34" s="74" t="inlineStr">
        <is>
          <t>No</t>
        </is>
      </c>
      <c r="G34" s="74" t="inlineStr">
        <is>
          <t>Parcial: se definirá en diseño de app móvil</t>
        </is>
      </c>
      <c r="H34" s="74" t="inlineStr">
        <is>
          <t>No</t>
        </is>
      </c>
      <c r="I34" s="74" t="inlineStr">
        <is>
          <t>Sí: aporta método, diagnóstico, clasificación o criterio de revisión</t>
        </is>
      </c>
      <c r="J34" s="74" t="inlineStr">
        <is>
          <t>Sí</t>
        </is>
      </c>
      <c r="K34" s="74" t="inlineStr">
        <is>
          <t>Primario / técnico</t>
        </is>
      </c>
      <c r="L34" s="74" t="inlineStr">
        <is>
          <t>Alta</t>
        </is>
      </c>
      <c r="M34" s="74" t="inlineStr">
        <is>
          <t>Araña roja</t>
        </is>
      </c>
      <c r="N34" s="74" t="inlineStr">
        <is>
          <t>No</t>
        </is>
      </c>
    </row>
    <row r="35" ht="32" customHeight="1" s="34">
      <c r="A35" s="75" t="inlineStr">
        <is>
          <t>B0032</t>
        </is>
      </c>
      <c r="B35" s="75" t="inlineStr">
        <is>
          <t>Scopus</t>
        </is>
      </c>
      <c r="C35" s="75" t="inlineStr">
        <is>
          <t>MODELIZACIÓN ESPACIAL DE LAS POBLACIONES DE Oligonychus perseae (TUTTLE, BAKER Y ABATIELLO, 1976) EN EL ESTADO DE MÉXICO; [SPATIAL MODELING OF THE Oligonychus perseae (TUTTLE, BAKER AND ABATIELLO, 1976) POPULATIONS IN THE STATE OF MEXICO]</t>
        </is>
      </c>
      <c r="D35" s="75" t="inlineStr"/>
      <c r="E35" s="75" t="inlineStr"/>
      <c r="F35" s="75" t="inlineStr">
        <is>
          <t>No</t>
        </is>
      </c>
      <c r="G35" s="75" t="inlineStr">
        <is>
          <t>Parcial: se definirá en diseño de app móvil</t>
        </is>
      </c>
      <c r="H35" s="75" t="inlineStr">
        <is>
          <t>No</t>
        </is>
      </c>
      <c r="I35" s="75" t="inlineStr">
        <is>
          <t>Sí: aporta método, diagnóstico, clasificación o criterio de revisión</t>
        </is>
      </c>
      <c r="J35" s="75" t="inlineStr">
        <is>
          <t>Sí</t>
        </is>
      </c>
      <c r="K35" s="75" t="inlineStr">
        <is>
          <t>Primario / técnico</t>
        </is>
      </c>
      <c r="L35" s="75" t="inlineStr">
        <is>
          <t>Alta</t>
        </is>
      </c>
      <c r="M35" s="75" t="inlineStr">
        <is>
          <t>Araña roja</t>
        </is>
      </c>
      <c r="N35" s="75" t="inlineStr">
        <is>
          <t>No</t>
        </is>
      </c>
    </row>
    <row r="36" ht="32" customHeight="1" s="34">
      <c r="A36" s="74" t="inlineStr">
        <is>
          <t>B0033</t>
        </is>
      </c>
      <c r="B36" s="74" t="inlineStr">
        <is>
          <t>Web / DOI</t>
        </is>
      </c>
      <c r="C36" s="74" t="inlineStr">
        <is>
          <t>05 Arana roja Oligonychus perseae Torres 2022</t>
        </is>
      </c>
      <c r="D36" s="74" t="inlineStr">
        <is>
          <t>Araña roja</t>
        </is>
      </c>
      <c r="E36" s="74" t="inlineStr">
        <is>
          <t>https://doi.org/10.1080/01647954.2022.2134923</t>
        </is>
      </c>
      <c r="F36" s="74" t="inlineStr">
        <is>
          <t>No</t>
        </is>
      </c>
      <c r="G36" s="74" t="inlineStr">
        <is>
          <t>Parcial: se definirá en diseño de app móvil</t>
        </is>
      </c>
      <c r="H36" s="74" t="inlineStr">
        <is>
          <t>No</t>
        </is>
      </c>
      <c r="I36" s="74" t="inlineStr">
        <is>
          <t>Sí: aporta método, diagnóstico, clasificación o criterio de revisión</t>
        </is>
      </c>
      <c r="J36" s="74" t="inlineStr">
        <is>
          <t>Sí</t>
        </is>
      </c>
      <c r="K36" s="74" t="inlineStr">
        <is>
          <t>Primario / técnico</t>
        </is>
      </c>
      <c r="L36" s="74" t="inlineStr">
        <is>
          <t>Alta</t>
        </is>
      </c>
      <c r="M36" s="74" t="inlineStr">
        <is>
          <t>Araña roja</t>
        </is>
      </c>
      <c r="N36" s="74" t="inlineStr">
        <is>
          <t>Sí</t>
        </is>
      </c>
    </row>
    <row r="37" ht="32" customHeight="1" s="34">
      <c r="A37" s="75" t="inlineStr">
        <is>
          <t>B0034</t>
        </is>
      </c>
      <c r="B37" s="75" t="inlineStr">
        <is>
          <t>Scopus</t>
        </is>
      </c>
      <c r="C37"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37" s="75" t="inlineStr"/>
      <c r="E37" s="75" t="inlineStr"/>
      <c r="F37" s="75" t="inlineStr">
        <is>
          <t>No</t>
        </is>
      </c>
      <c r="G37" s="75" t="inlineStr">
        <is>
          <t>Parcial: se definirá en diseño de app móvil</t>
        </is>
      </c>
      <c r="H37" s="75" t="inlineStr">
        <is>
          <t>Sí</t>
        </is>
      </c>
      <c r="I37" s="75" t="inlineStr">
        <is>
          <t>Sí: aporta método, diagnóstico, clasificación o criterio de revisión</t>
        </is>
      </c>
      <c r="J37" s="75" t="inlineStr">
        <is>
          <t>Sí</t>
        </is>
      </c>
      <c r="K37" s="75" t="inlineStr">
        <is>
          <t>Primario / técnico</t>
        </is>
      </c>
      <c r="L37" s="75" t="inlineStr">
        <is>
          <t>Alta</t>
        </is>
      </c>
      <c r="M37" s="75" t="inlineStr">
        <is>
          <t>Araña roja</t>
        </is>
      </c>
      <c r="N37" s="75" t="inlineStr">
        <is>
          <t>Sí</t>
        </is>
      </c>
    </row>
    <row r="38" ht="32" customHeight="1" s="34">
      <c r="A38" s="74" t="inlineStr">
        <is>
          <t>B0035</t>
        </is>
      </c>
      <c r="B38" s="74" t="inlineStr">
        <is>
          <t>Scopus</t>
        </is>
      </c>
      <c r="C38"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8" s="74" t="inlineStr"/>
      <c r="E38" s="74" t="inlineStr"/>
      <c r="F38" s="74" t="inlineStr">
        <is>
          <t>No</t>
        </is>
      </c>
      <c r="G38" s="74" t="inlineStr">
        <is>
          <t>Parcial: se definirá en diseño de app móvil</t>
        </is>
      </c>
      <c r="H38" s="74" t="inlineStr">
        <is>
          <t>No</t>
        </is>
      </c>
      <c r="I38" s="74" t="inlineStr">
        <is>
          <t>Sí: aporta método, diagnóstico, clasificación o criterio de revisión</t>
        </is>
      </c>
      <c r="J38" s="74" t="inlineStr">
        <is>
          <t>Sí</t>
        </is>
      </c>
      <c r="K38" s="74" t="inlineStr">
        <is>
          <t>Primario / técnico</t>
        </is>
      </c>
      <c r="L38" s="74" t="inlineStr">
        <is>
          <t>Media</t>
        </is>
      </c>
      <c r="M38" s="74" t="inlineStr">
        <is>
          <t>Araña roja</t>
        </is>
      </c>
      <c r="N38" s="74" t="inlineStr">
        <is>
          <t>Sí</t>
        </is>
      </c>
    </row>
    <row r="39" ht="32" customHeight="1" s="34">
      <c r="A39" s="75" t="inlineStr">
        <is>
          <t>B0036</t>
        </is>
      </c>
      <c r="B39" s="75" t="inlineStr">
        <is>
          <t>Scopus</t>
        </is>
      </c>
      <c r="C39" s="75" t="inlineStr">
        <is>
          <t>Spatial modeling of red spider mite Oligonychus punicae (Acari: Tetranychidae) in avocado crop</t>
        </is>
      </c>
      <c r="D39" s="75" t="inlineStr"/>
      <c r="E39" s="75" t="inlineStr"/>
      <c r="F39" s="75" t="inlineStr">
        <is>
          <t>No</t>
        </is>
      </c>
      <c r="G39" s="75" t="inlineStr">
        <is>
          <t>Parcial: se definirá en diseño de app móvil</t>
        </is>
      </c>
      <c r="H39" s="75" t="inlineStr">
        <is>
          <t>No</t>
        </is>
      </c>
      <c r="I39" s="75" t="inlineStr">
        <is>
          <t>Sí: aporta método, diagnóstico, clasificación o criterio de revisión</t>
        </is>
      </c>
      <c r="J39" s="75" t="inlineStr">
        <is>
          <t>Sí</t>
        </is>
      </c>
      <c r="K39" s="75" t="inlineStr">
        <is>
          <t>Primario / técnico</t>
        </is>
      </c>
      <c r="L39" s="75" t="inlineStr">
        <is>
          <t>Alta</t>
        </is>
      </c>
      <c r="M39" s="75" t="inlineStr">
        <is>
          <t>Araña roja</t>
        </is>
      </c>
      <c r="N39" s="75" t="inlineStr">
        <is>
          <t>Sí</t>
        </is>
      </c>
    </row>
    <row r="40" ht="32" customHeight="1" s="34">
      <c r="A40" s="74" t="inlineStr">
        <is>
          <t>B0037</t>
        </is>
      </c>
      <c r="B40" s="74" t="inlineStr">
        <is>
          <t>Scopus</t>
        </is>
      </c>
      <c r="C40" s="74" t="inlineStr">
        <is>
          <t>Biosecurity practices and exploratory survey for pests and diseases of avocados in the Gharb-Loukkos region, Morocco</t>
        </is>
      </c>
      <c r="D40" s="74" t="inlineStr"/>
      <c r="E40" s="74" t="inlineStr"/>
      <c r="F40" s="74" t="inlineStr">
        <is>
          <t>No</t>
        </is>
      </c>
      <c r="G40" s="74" t="inlineStr">
        <is>
          <t>Parcial: se definirá en diseño de app móvil</t>
        </is>
      </c>
      <c r="H40" s="74" t="inlineStr">
        <is>
          <t>No</t>
        </is>
      </c>
      <c r="I40" s="74" t="inlineStr">
        <is>
          <t>Sí: aporta método, diagnóstico, clasificación o criterio de revisión</t>
        </is>
      </c>
      <c r="J40" s="74" t="inlineStr">
        <is>
          <t>Sí</t>
        </is>
      </c>
      <c r="K40" s="74" t="inlineStr">
        <is>
          <t>Revisión</t>
        </is>
      </c>
      <c r="L40" s="74" t="inlineStr">
        <is>
          <t>Alta</t>
        </is>
      </c>
      <c r="M40" s="74" t="inlineStr">
        <is>
          <t>Araña roja</t>
        </is>
      </c>
      <c r="N40" s="74" t="inlineStr">
        <is>
          <t>Sí</t>
        </is>
      </c>
    </row>
    <row r="41" ht="32" customHeight="1" s="34">
      <c r="A41" s="75" t="inlineStr">
        <is>
          <t>B0038</t>
        </is>
      </c>
      <c r="B41" s="75" t="inlineStr">
        <is>
          <t>Web / DOI</t>
        </is>
      </c>
      <c r="C41" s="75" t="inlineStr">
        <is>
          <t>02 Tizon Pseudocercospora norchiensis Dai 2026</t>
        </is>
      </c>
      <c r="D41" s="75" t="inlineStr">
        <is>
          <t>Cercospora</t>
        </is>
      </c>
      <c r="E41" s="75" t="inlineStr">
        <is>
          <t>https://doi.org/10.1094/PDIS-03-25-0523-PDN</t>
        </is>
      </c>
      <c r="F41" s="75" t="inlineStr">
        <is>
          <t>No</t>
        </is>
      </c>
      <c r="G41" s="75" t="inlineStr">
        <is>
          <t>Parcial: se definirá en diseño de app móvil</t>
        </is>
      </c>
      <c r="H41" s="75" t="inlineStr">
        <is>
          <t>No</t>
        </is>
      </c>
      <c r="I41" s="75" t="inlineStr">
        <is>
          <t>Sí: aporta método, diagnóstico, clasificación o criterio de revisión</t>
        </is>
      </c>
      <c r="J41" s="75" t="inlineStr">
        <is>
          <t>No</t>
        </is>
      </c>
      <c r="K41" s="75" t="inlineStr">
        <is>
          <t>Primario / técnico</t>
        </is>
      </c>
      <c r="L41" s="75" t="inlineStr">
        <is>
          <t>Baja</t>
        </is>
      </c>
      <c r="M41" s="75" t="inlineStr">
        <is>
          <t>Cercospora</t>
        </is>
      </c>
      <c r="N41" s="75" t="inlineStr">
        <is>
          <t>No</t>
        </is>
      </c>
    </row>
    <row r="42" ht="32" customHeight="1" s="34">
      <c r="A42" s="74" t="inlineStr">
        <is>
          <t>B0039</t>
        </is>
      </c>
      <c r="B42" s="74" t="inlineStr">
        <is>
          <t>Web / DOI</t>
        </is>
      </c>
      <c r="C42" s="74" t="inlineStr">
        <is>
          <t>04 Cercospora van Eeden Korsten 2013</t>
        </is>
      </c>
      <c r="D42" s="74" t="inlineStr">
        <is>
          <t>Cercospora</t>
        </is>
      </c>
      <c r="E42" s="74" t="inlineStr">
        <is>
          <t>https://doi.org/10.2174/22115501113029990001</t>
        </is>
      </c>
      <c r="F42" s="74" t="inlineStr">
        <is>
          <t>No</t>
        </is>
      </c>
      <c r="G42" s="74" t="inlineStr">
        <is>
          <t>Parcial: se definirá en diseño de app móvil</t>
        </is>
      </c>
      <c r="H42" s="74" t="inlineStr">
        <is>
          <t>No</t>
        </is>
      </c>
      <c r="I42" s="74" t="inlineStr">
        <is>
          <t>Sí: aporta método, diagnóstico, clasificación o criterio de revisión</t>
        </is>
      </c>
      <c r="J42" s="74" t="inlineStr">
        <is>
          <t>No</t>
        </is>
      </c>
      <c r="K42" s="74" t="inlineStr">
        <is>
          <t>Primario / técnico</t>
        </is>
      </c>
      <c r="L42" s="74" t="inlineStr">
        <is>
          <t>Baja</t>
        </is>
      </c>
      <c r="M42" s="74" t="inlineStr">
        <is>
          <t>Cercospora</t>
        </is>
      </c>
      <c r="N42" s="74" t="inlineStr">
        <is>
          <t>No</t>
        </is>
      </c>
    </row>
    <row r="43" ht="32" customHeight="1" s="34">
      <c r="A43" s="75" t="inlineStr">
        <is>
          <t>B0040</t>
        </is>
      </c>
      <c r="B43" s="75" t="inlineStr">
        <is>
          <t>PDF local</t>
        </is>
      </c>
      <c r="C43" s="75" t="inlineStr">
        <is>
          <t>Validation of black spot [(Pseudocercospora purpurea (Cooke) Deighton] management strategies in avocado crops in northern Tolima (Colombia)</t>
        </is>
      </c>
      <c r="D43" s="75" t="inlineStr">
        <is>
          <t>Cercospora</t>
        </is>
      </c>
      <c r="E43" s="75" t="inlineStr">
        <is>
          <t>Doi: https://doi.org/10.17584/rcch.2020v14i2.10169 REVISTA COLOMBIANA DE CIENCIAS HORTÍCOLAS - Vol. 14 - No. 2, pp. 178-191, May-August 2020 Validation of black spot [(Pseudocercospora purpurea (Cooke) Deighton] management strategies in avocado crops in northern Tolima (Colombia) Validación de estrategias de manejo de la peca [(Pseudocercospora purpurea (Cooke) Deighton] en cultivos de aguacate en el norte del Tolima (Colombia) ELEONORA RODRÍGUEZ-POLANCO 1, 5 JULIAN ALBERTO REINA-NOREÑA 2 PABLO JULIAN TAMAYO-MOLANO 3 LUZ ASTRID RODRÍGUEZ-POLANCO 4 EDGAR HERNEY VARÓN-DEVIA 1 Black spot, caused by Pseudocercospora purpurea, symptoms in avocado fruits, variety Lorena, Fresno-Tolima. Photo: E. Rodríguez-Polanco ABSTRACT Leaf spot, or black spot (BS), caused by the fungus Pseudocercospora purpurea (Cooke) Deighton, is one of the principal sanitary limitations in avocado production, particularly in the Antillean cultivars (Lorena, Choquet- te, Santana, and Semil 44) in the northern region of the Department of T olima, Colombia. From 2014 to 2017, different experiments were carried out in the field to determine when higher fruit susceptibility occurs, the effect of pruning on inoculum reduction, and the chemical molecules with a high degree of control, adjusting their chronology and frequency of application. The results will facilitate the technical, economic, and envi- ronmental implementation and validation of a chemical strategy for management of this disease. The mana- gement...</t>
        </is>
      </c>
      <c r="F43" s="75" t="inlineStr">
        <is>
          <t>No</t>
        </is>
      </c>
      <c r="G43" s="75" t="inlineStr">
        <is>
          <t>Parcial: se definirá en diseño de app móvil</t>
        </is>
      </c>
      <c r="H43" s="75" t="inlineStr">
        <is>
          <t>Sí</t>
        </is>
      </c>
      <c r="I43" s="75" t="inlineStr">
        <is>
          <t>Sí: aporta método, diagnóstico, clasificación o criterio de revisión</t>
        </is>
      </c>
      <c r="J43" s="75" t="inlineStr">
        <is>
          <t>Sí</t>
        </is>
      </c>
      <c r="K43" s="75" t="inlineStr">
        <is>
          <t>Primario / técnico</t>
        </is>
      </c>
      <c r="L43" s="75" t="inlineStr">
        <is>
          <t>Alta</t>
        </is>
      </c>
      <c r="M43" s="75" t="inlineStr">
        <is>
          <t>Cercospora</t>
        </is>
      </c>
      <c r="N43" s="75" t="inlineStr">
        <is>
          <t>No</t>
        </is>
      </c>
    </row>
    <row r="44" ht="32" customHeight="1" s="34">
      <c r="A44" s="74" t="inlineStr">
        <is>
          <t>B0041</t>
        </is>
      </c>
      <c r="B44" s="74" t="inlineStr">
        <is>
          <t>IEEE Xplore</t>
        </is>
      </c>
      <c r="C44" s="74" t="inlineStr">
        <is>
          <t>Plant Leaf Disease Detection Classification and Diagnosis Using Computer Vision and Artificial Intelligence A Review</t>
        </is>
      </c>
      <c r="D44" s="74" t="inlineStr">
        <is>
          <t>Mosca blanca</t>
        </is>
      </c>
      <c r="E44" s="74" t="inlineStr">
        <is>
          <t>https://ieeexplore.ieee.org/document/10458943/</t>
        </is>
      </c>
      <c r="F44" s="74" t="inlineStr">
        <is>
          <t>Sí</t>
        </is>
      </c>
      <c r="G44" s="74" t="inlineStr">
        <is>
          <t>Parcial: se definirá en diseño de app móvil</t>
        </is>
      </c>
      <c r="H44" s="74" t="inlineStr">
        <is>
          <t>No</t>
        </is>
      </c>
      <c r="I44" s="74" t="inlineStr">
        <is>
          <t>Sí: aporta método, diagnóstico, clasificación o criterio de revisión</t>
        </is>
      </c>
      <c r="J44" s="74" t="inlineStr">
        <is>
          <t>Sí</t>
        </is>
      </c>
      <c r="K44" s="74" t="inlineStr">
        <is>
          <t>Revisión</t>
        </is>
      </c>
      <c r="L44" s="74" t="inlineStr">
        <is>
          <t>Media</t>
        </is>
      </c>
      <c r="M44" s="74" t="inlineStr">
        <is>
          <t>Mosca blanca</t>
        </is>
      </c>
      <c r="N44" s="74" t="inlineStr">
        <is>
          <t>Sí</t>
        </is>
      </c>
    </row>
    <row r="45" ht="32" customHeight="1" s="34">
      <c r="A45" s="75" t="inlineStr">
        <is>
          <t>B0042</t>
        </is>
      </c>
      <c r="B45" s="75" t="inlineStr">
        <is>
          <t>Web / DOI</t>
        </is>
      </c>
      <c r="C45" s="75" t="inlineStr">
        <is>
          <t>09 Rona Scab Belizaire 2024</t>
        </is>
      </c>
      <c r="D45" s="75" t="inlineStr">
        <is>
          <t>Roña</t>
        </is>
      </c>
      <c r="E45" s="75" t="inlineStr">
        <is>
          <t>https://doi.org/10.1094/PHP-10-23-0084-DG</t>
        </is>
      </c>
      <c r="F45" s="75" t="inlineStr">
        <is>
          <t>No</t>
        </is>
      </c>
      <c r="G45" s="75" t="inlineStr">
        <is>
          <t>Parcial: se definirá en diseño de app móvil</t>
        </is>
      </c>
      <c r="H45" s="75" t="inlineStr">
        <is>
          <t>No</t>
        </is>
      </c>
      <c r="I45" s="75" t="inlineStr">
        <is>
          <t>Sí: aporta método, diagnóstico, clasificación o criterio de revisión</t>
        </is>
      </c>
      <c r="J45" s="75" t="inlineStr">
        <is>
          <t>No</t>
        </is>
      </c>
      <c r="K45" s="75" t="inlineStr">
        <is>
          <t>Primario / técnico</t>
        </is>
      </c>
      <c r="L45" s="75" t="inlineStr">
        <is>
          <t>Baja</t>
        </is>
      </c>
      <c r="M45" s="75" t="inlineStr">
        <is>
          <t>Roña</t>
        </is>
      </c>
      <c r="N45" s="75" t="inlineStr">
        <is>
          <t>No</t>
        </is>
      </c>
    </row>
    <row r="46" ht="32" customHeight="1" s="34">
      <c r="A46" s="74" t="inlineStr">
        <is>
          <t>B0043</t>
        </is>
      </c>
      <c r="B46" s="74" t="inlineStr">
        <is>
          <t>Web / DOI</t>
        </is>
      </c>
      <c r="C46" s="74" t="inlineStr">
        <is>
          <t>10 Rona Scab Chellappan 2024 PDF</t>
        </is>
      </c>
      <c r="D46" s="74" t="inlineStr">
        <is>
          <t>Roña</t>
        </is>
      </c>
      <c r="E46" s="74" t="inlineStr">
        <is>
          <t>https://www.aimspress.com/aimspress-data/aimsmicro/2024/4/PDF/microbiol-10-04-039.pdf</t>
        </is>
      </c>
      <c r="F46" s="74" t="inlineStr">
        <is>
          <t>No</t>
        </is>
      </c>
      <c r="G46" s="74" t="inlineStr">
        <is>
          <t>Parcial: se definirá en diseño de app móvil</t>
        </is>
      </c>
      <c r="H46" s="74" t="inlineStr">
        <is>
          <t>No</t>
        </is>
      </c>
      <c r="I46" s="74" t="inlineStr">
        <is>
          <t>Sí: aporta método, diagnóstico, clasificación o criterio de revisión</t>
        </is>
      </c>
      <c r="J46" s="74" t="inlineStr">
        <is>
          <t>No</t>
        </is>
      </c>
      <c r="K46" s="74" t="inlineStr">
        <is>
          <t>Primario / técnico</t>
        </is>
      </c>
      <c r="L46" s="74" t="inlineStr">
        <is>
          <t>Baja</t>
        </is>
      </c>
      <c r="M46" s="74" t="inlineStr">
        <is>
          <t>Roña</t>
        </is>
      </c>
      <c r="N46" s="74" t="inlineStr">
        <is>
          <t>No</t>
        </is>
      </c>
    </row>
    <row r="47" ht="32" customHeight="1" s="34">
      <c r="A47" s="75" t="inlineStr">
        <is>
          <t>B0044</t>
        </is>
      </c>
      <c r="B47" s="75" t="inlineStr">
        <is>
          <t>BibTeX</t>
        </is>
      </c>
      <c r="C47" s="75" t="inlineStr">
        <is>
          <t>Comparative secretome analysis unveils species-specific virulence factors in Elsinoe perseae, the causative agent of the scab disease of avocado (Persea americana)</t>
        </is>
      </c>
      <c r="D47" s="75" t="inlineStr"/>
      <c r="E47" s="75" t="inlineStr"/>
      <c r="F47" s="75" t="inlineStr">
        <is>
          <t>No</t>
        </is>
      </c>
      <c r="G47" s="75" t="inlineStr">
        <is>
          <t>Parcial: se definirá en diseño de app móvil</t>
        </is>
      </c>
      <c r="H47" s="75" t="inlineStr">
        <is>
          <t>No</t>
        </is>
      </c>
      <c r="I47" s="75" t="inlineStr">
        <is>
          <t>Sí: aporta método, diagnóstico, clasificación o criterio de revisión</t>
        </is>
      </c>
      <c r="J47" s="75" t="inlineStr">
        <is>
          <t>Sí</t>
        </is>
      </c>
      <c r="K47" s="75" t="inlineStr">
        <is>
          <t>Primario / técnico</t>
        </is>
      </c>
      <c r="L47" s="75" t="inlineStr">
        <is>
          <t>Alta</t>
        </is>
      </c>
      <c r="M47" s="75" t="inlineStr">
        <is>
          <t>Roña</t>
        </is>
      </c>
      <c r="N47" s="75" t="inlineStr">
        <is>
          <t>Sí</t>
        </is>
      </c>
    </row>
    <row r="48" ht="32" customHeight="1" s="34">
      <c r="A48" s="74" t="inlineStr">
        <is>
          <t>B0045</t>
        </is>
      </c>
      <c r="B48" s="74" t="inlineStr">
        <is>
          <t>Scopus</t>
        </is>
      </c>
      <c r="C48" s="74" t="inlineStr">
        <is>
          <t>Real-time hass avocado ripeness detection using close-range UAV imagery and YOLO-based deep learning</t>
        </is>
      </c>
      <c r="D48" s="74" t="inlineStr">
        <is>
          <t>Sin clasificar</t>
        </is>
      </c>
      <c r="E48" s="74" t="inlineStr">
        <is>
          <t>Real-time hass avocado ripeness detection using close-range UAV imagery and YOLO-based deep learning Verner Leonidas Tudela Taco * , Wilson Emerson Quispe Accostupa, Erasmo Sulla Espinoza Universidad Nacional de San Agustín de Arequipa, Peru ARTICLE INFO Keywords: Computer vision Deep learning YOLO UAV monitoring Avocado ripeness classification Precision agriculture ABSTRACT Rapid and accurate assessment of Hass avocado ripeness is essential for improving harvest planning, optimizing picking time, increasing productivity, and reducing postharvest losses. This study presents a real-time system for Hass avocado ripeness detection using close-range UAV imagery and YOLO-based deep learning models. A UAV equipped with a camera captured field images, which were transmitted in real time to a processing station through SCRCPY for fruit detection and ripeness classification. The proposed approach consists of two sequential stages. First, a YOLOv8 object detection model was trained using a dataset of 340 manually annotated images generated through real-world adaptation and labeled in Roboflow. The detector achieved a precision of 0.7951, a recall of 0.7849, an mAP@0.5 of 0.8388, and an mAP@0.5:0.95 of 0.6308, demonstrating reliable fruit locali - zation under field conditions. Second, a YOLOv8 classification model was trained on a dataset of 20,231 cropped fruit images derived from an initial collection of 14,710 images categorized into five ripeness stages (unripe, midripe, ripe, f...</t>
        </is>
      </c>
      <c r="F48" s="74" t="inlineStr">
        <is>
          <t>Sí</t>
        </is>
      </c>
      <c r="G48" s="74" t="inlineStr">
        <is>
          <t>Parcial: se definirá en diseño de app móvil</t>
        </is>
      </c>
      <c r="H48" s="74" t="inlineStr">
        <is>
          <t>No</t>
        </is>
      </c>
      <c r="I48" s="74" t="inlineStr">
        <is>
          <t>Sí: aporta método, diagnóstico, clasificación o criterio de revisión</t>
        </is>
      </c>
      <c r="J48" s="74" t="inlineStr">
        <is>
          <t>Sí</t>
        </is>
      </c>
      <c r="K48" s="74" t="inlineStr">
        <is>
          <t>Primario / técnico</t>
        </is>
      </c>
      <c r="L48" s="74" t="inlineStr">
        <is>
          <t>Media</t>
        </is>
      </c>
      <c r="M48" s="74" t="inlineStr">
        <is>
          <t>Sin clasificar</t>
        </is>
      </c>
      <c r="N48" s="74" t="inlineStr">
        <is>
          <t>Sí</t>
        </is>
      </c>
    </row>
    <row r="49" ht="32" customHeight="1" s="34">
      <c r="A49" s="75" t="inlineStr">
        <is>
          <t>B0046</t>
        </is>
      </c>
      <c r="B49" s="75" t="inlineStr">
        <is>
          <t>Web / DOI</t>
        </is>
      </c>
      <c r="C49" s="75" t="inlineStr">
        <is>
          <t>03 Tizon Neopestalotiopsis Darapanit 2021</t>
        </is>
      </c>
      <c r="D49" s="75" t="inlineStr">
        <is>
          <t>Tizón de la hoja</t>
        </is>
      </c>
      <c r="E49" s="75" t="inlineStr">
        <is>
          <t>https://www.nature.com/articles/s41598-021-02113-5</t>
        </is>
      </c>
      <c r="F49" s="75" t="inlineStr">
        <is>
          <t>No</t>
        </is>
      </c>
      <c r="G49" s="75" t="inlineStr">
        <is>
          <t>Parcial: se definirá en diseño de app móvil</t>
        </is>
      </c>
      <c r="H49" s="75" t="inlineStr">
        <is>
          <t>No</t>
        </is>
      </c>
      <c r="I49" s="75" t="inlineStr">
        <is>
          <t>Sí: aporta método, diagnóstico, clasificación o criterio de revisión</t>
        </is>
      </c>
      <c r="J49" s="75" t="inlineStr">
        <is>
          <t>Sí</t>
        </is>
      </c>
      <c r="K49" s="75" t="inlineStr">
        <is>
          <t>Primario / técnico</t>
        </is>
      </c>
      <c r="L49" s="75" t="inlineStr">
        <is>
          <t>Media</t>
        </is>
      </c>
      <c r="M49" s="75" t="inlineStr">
        <is>
          <t>Tizón de la hoja</t>
        </is>
      </c>
      <c r="N49" s="75" t="inlineStr">
        <is>
          <t>Sí</t>
        </is>
      </c>
    </row>
    <row r="50" ht="32" customHeight="1" s="34">
      <c r="A50" s="74" t="inlineStr">
        <is>
          <t>B0047</t>
        </is>
      </c>
      <c r="B50" s="74" t="inlineStr">
        <is>
          <t>BibTeX</t>
        </is>
      </c>
      <c r="C50" s="74" t="inlineStr">
        <is>
          <t>Identification, pathogenicity and effects of plant extracts on Neopestalotiopsis and Pseudopestalotiopsis causing fruit diseases</t>
        </is>
      </c>
      <c r="D50" s="74" t="inlineStr"/>
      <c r="E50" s="74" t="inlineStr"/>
      <c r="F50" s="74" t="inlineStr">
        <is>
          <t>No</t>
        </is>
      </c>
      <c r="G50" s="74" t="inlineStr">
        <is>
          <t>Parcial: se definirá en diseño de app móvil</t>
        </is>
      </c>
      <c r="H50" s="74" t="inlineStr">
        <is>
          <t>No</t>
        </is>
      </c>
      <c r="I50" s="74" t="inlineStr">
        <is>
          <t>Sí: aporta método, diagnóstico, clasificación o criterio de revisión</t>
        </is>
      </c>
      <c r="J50" s="74" t="inlineStr">
        <is>
          <t>Sí</t>
        </is>
      </c>
      <c r="K50" s="74" t="inlineStr">
        <is>
          <t>Primario / técnico</t>
        </is>
      </c>
      <c r="L50" s="74" t="inlineStr">
        <is>
          <t>Media</t>
        </is>
      </c>
      <c r="M50" s="74" t="inlineStr">
        <is>
          <t>Tizón de la hoja</t>
        </is>
      </c>
      <c r="N50" s="74" t="inlineStr">
        <is>
          <t>Sí</t>
        </is>
      </c>
    </row>
    <row r="51" ht="32" customHeight="1" s="34">
      <c r="A51" s="75" t="inlineStr">
        <is>
          <t>B0048</t>
        </is>
      </c>
      <c r="B51" s="75" t="inlineStr">
        <is>
          <t>PDF local</t>
        </is>
      </c>
      <c r="C51" s="75" t="inlineStr">
        <is>
          <t>Colletotrichum fructicola Causes Necrotic Leaf Lesions in Avocado (Persea americana) in Amazonas, Peru: First Record and In Vitro Control Using Piper Essential Oils</t>
        </is>
      </c>
      <c r="D51" s="75" t="inlineStr">
        <is>
          <t>Tizón de la hoja</t>
        </is>
      </c>
      <c r="E51" s="75" t="inlineStr">
        <is>
          <t>Academic Editor: Adriano Sofo Received: 5 December 2025 Revised: 28 January 2026 Accepted: 3 February 2026 Published: 9 February 2026 Copyright: © 2026 by the authors. Licensee MDPI, Basel, Switzerland. This article is an open access article distributed under the terms and conditions of the Creative Commons Attribution (CC BY) license. Article Colletotrichum fructicola Causes Necrotic Leaf Lesions in Avocado (Persea americana) in Amazonas, Peru: First Record and In Vitro Control Using Piper Essential Oils Marly Guelac-Santillan 1,2 , Jherson Rojas-Vargas 1, Elmer Chávez-Chacón 1, Eryka Gaslac-Zumaeta 1 , Manuel Oliva-Cruz 1,3, * and Angel F. Huaman-Pilco 1,2, * 1 Grupo de Investigación en Patología Intracelular de Plantas, Instituto de Investigación para el Desarrollo Sustentable de Ceja de Selva, Universidad Nacional Toribio Rodríguez de Mendoza de Amazonas, Chachapoyas 01001, Amazonas, Peru; marly.guelac@untrm.edu.pe (M.G.-S.); rojasvargasjherson6@gmail.com (J.R.-V .); 7455977721@untrm.edu.pe (E.C.-C.); eryka.gaslac@untrm.edu.pe (E.G.-Z.) 2 Grupo de Investigación en Raíces y Tuberosas (GIRT), Centro de Investigación en Germoplasma Vegetal y Mejoramiento Genético de Plantas (CIGEMP), Universidad Nacional Toribio Rodríguez de Mendoza de Amazonas, Chachapoyas 01001, Amazonas, Peru 3 Facultad de Ingeniería y Ciencias Agrarias, Universidad Nacional Toribio Rodríguez de Mendoza de Amazonas, Chachapoyas 01001, Amazonas, Peru * Correspondence: manuel.oliva@untrm.edu.pe (M.O.-C.)...</t>
        </is>
      </c>
      <c r="F51" s="75" t="inlineStr">
        <is>
          <t>No</t>
        </is>
      </c>
      <c r="G51" s="75" t="inlineStr">
        <is>
          <t>Parcial: se definirá en diseño de app móvil</t>
        </is>
      </c>
      <c r="H51" s="75" t="inlineStr">
        <is>
          <t>No</t>
        </is>
      </c>
      <c r="I51" s="75" t="inlineStr">
        <is>
          <t>Sí: aporta método, diagnóstico, clasificación o criterio de revisión</t>
        </is>
      </c>
      <c r="J51" s="75" t="inlineStr">
        <is>
          <t>Sí</t>
        </is>
      </c>
      <c r="K51" s="75" t="inlineStr">
        <is>
          <t>Primario / técnico</t>
        </is>
      </c>
      <c r="L51" s="75" t="inlineStr">
        <is>
          <t>Alta</t>
        </is>
      </c>
      <c r="M51" s="75" t="inlineStr">
        <is>
          <t>Tizón de la hoja</t>
        </is>
      </c>
      <c r="N51" s="75" t="inlineStr">
        <is>
          <t>Sí</t>
        </is>
      </c>
    </row>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N51"/>
  <mergeCells count="2">
    <mergeCell ref="A2:N2"/>
    <mergeCell ref="A1:N1"/>
  </mergeCells>
  <dataValidations count="3">
    <dataValidation sqref="K4:K500" showDropDown="0" showInputMessage="0" showErrorMessage="0" allowBlank="1" type="list">
      <formula1>"Primario,Revisión,Otro"</formula1>
    </dataValidation>
    <dataValidation sqref="L4:L500" showDropDown="0" showInputMessage="0" showErrorMessage="0" allowBlank="1" type="list">
      <formula1>"Alto,Medio,Bajo"</formula1>
    </dataValidation>
    <dataValidation sqref="N4:N500" showDropDown="0" showInputMessage="0" showErrorMessage="0" allowBlank="1" type="list">
      <formula1>"Sí,No"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51"/>
  <sheetViews>
    <sheetView showGridLines="0" topLeftCell="A1" workbookViewId="0">
      <selection activeCell="A1" sqref="A1"/>
    </sheetView>
  </sheetViews>
  <sheetFormatPr baseColWidth="10" defaultColWidth="8.88671875" defaultRowHeight="14.4"/>
  <cols>
    <col width="10" customWidth="1" style="34" min="1" max="1"/>
    <col width="18" customWidth="1" style="34" min="2" max="2"/>
    <col width="50" customWidth="1" style="34" min="3" max="3"/>
    <col width="8" customWidth="1" style="34" min="4" max="13"/>
    <col width="8" customWidth="1" style="34" min="5" max="5"/>
    <col width="8" customWidth="1" style="34" min="6" max="6"/>
    <col width="8" customWidth="1" style="34" min="7" max="7"/>
    <col width="8" customWidth="1" style="34" min="8" max="8"/>
    <col width="8" customWidth="1" style="34" min="9" max="9"/>
    <col width="8" customWidth="1" style="34" min="10" max="10"/>
    <col width="8" customWidth="1" style="34" min="11" max="11"/>
    <col width="8" customWidth="1" style="34" min="12" max="12"/>
    <col width="8" customWidth="1" style="34" min="13" max="13"/>
    <col width="14" customWidth="1" style="34" min="14" max="14"/>
    <col width="18" customWidth="1" style="34" min="15" max="15"/>
    <col width="38" customWidth="1" style="34" min="16" max="16"/>
  </cols>
  <sheetData>
    <row r="1" ht="24" customHeight="1" s="34">
      <c r="A1" s="71" t="inlineStr">
        <is>
          <t>Calidad_articulos</t>
        </is>
      </c>
    </row>
    <row r="2" ht="24" customHeight="1" s="34">
      <c r="A2" s="72" t="inlineStr">
        <is>
          <t>Evaluación de calidad de lo que pasó el tamizaje. Q1-Q10 se puntúan 0/1/2; el puntaje total (0-20) y el nivel de calidad se CALCULAN SOLOS.</t>
        </is>
      </c>
    </row>
    <row r="3" ht="24" customHeight="1" s="34">
      <c r="A3" s="73" t="inlineStr">
        <is>
          <t>ID</t>
        </is>
      </c>
      <c r="B3" s="73" t="inlineStr">
        <is>
          <t>Base de datos</t>
        </is>
      </c>
      <c r="C3" s="73" t="inlineStr">
        <is>
          <t>Título completo</t>
        </is>
      </c>
      <c r="D3" s="73" t="inlineStr">
        <is>
          <t>Q1</t>
        </is>
      </c>
      <c r="E3" s="73" t="inlineStr">
        <is>
          <t>Q2</t>
        </is>
      </c>
      <c r="F3" s="73" t="inlineStr">
        <is>
          <t>Q3</t>
        </is>
      </c>
      <c r="G3" s="73" t="inlineStr">
        <is>
          <t>Q4</t>
        </is>
      </c>
      <c r="H3" s="73" t="inlineStr">
        <is>
          <t>Q5</t>
        </is>
      </c>
      <c r="I3" s="73" t="inlineStr">
        <is>
          <t>Q6</t>
        </is>
      </c>
      <c r="J3" s="73" t="inlineStr">
        <is>
          <t>Q7</t>
        </is>
      </c>
      <c r="K3" s="73" t="inlineStr">
        <is>
          <t>Q8</t>
        </is>
      </c>
      <c r="L3" s="73" t="inlineStr">
        <is>
          <t>Q9</t>
        </is>
      </c>
      <c r="M3" s="73" t="inlineStr">
        <is>
          <t>Q10</t>
        </is>
      </c>
      <c r="N3" s="73" t="inlineStr">
        <is>
          <t>Puntaje total</t>
        </is>
      </c>
      <c r="O3" s="73" t="inlineStr">
        <is>
          <t>Nivel de calidad</t>
        </is>
      </c>
      <c r="P3" s="73" t="inlineStr">
        <is>
          <t>Observaciones de calidad</t>
        </is>
      </c>
    </row>
    <row r="4" ht="32" customHeight="1" s="34">
      <c r="A4" s="74" t="inlineStr">
        <is>
          <t>B0001</t>
        </is>
      </c>
      <c r="B4" s="74" t="inlineStr">
        <is>
          <t>Web / DOI</t>
        </is>
      </c>
      <c r="C4" s="74" t="inlineStr">
        <is>
          <t>07 Agallas Trioza anceps Torres Gurrola 2011 UNAM</t>
        </is>
      </c>
      <c r="D4" s="74" t="n">
        <v>2</v>
      </c>
      <c r="E4" s="74" t="n">
        <v>2</v>
      </c>
      <c r="F4" s="74" t="n">
        <v>2</v>
      </c>
      <c r="G4" s="74" t="n">
        <v>1</v>
      </c>
      <c r="H4" s="74" t="n">
        <v>2</v>
      </c>
      <c r="I4" s="74" t="n">
        <v>2</v>
      </c>
      <c r="J4" s="74" t="n">
        <v>1</v>
      </c>
      <c r="K4" s="74" t="n">
        <v>0</v>
      </c>
      <c r="L4" s="74" t="n">
        <v>2</v>
      </c>
      <c r="M4" s="74" t="n">
        <v>2</v>
      </c>
      <c r="N4" s="74">
        <f>SUM(D4:M4)</f>
        <v/>
      </c>
      <c r="O4" s="74">
        <f>IF(N4&gt;=16,"Alta calidad",IF(N4&gt;=11,"Media calidad","Baja calidad"))</f>
        <v/>
      </c>
      <c r="P4" s="74" t="inlineStr">
        <is>
          <t>Agallas foliares</t>
        </is>
      </c>
    </row>
    <row r="5" ht="32" customHeight="1" s="34">
      <c r="A5" s="75" t="inlineStr">
        <is>
          <t>B0002</t>
        </is>
      </c>
      <c r="B5" s="75" t="inlineStr">
        <is>
          <t>Web / DOI</t>
        </is>
      </c>
      <c r="C5" s="75" t="inlineStr">
        <is>
          <t>08 Agallas Trioza anceps Rincon Hernandez 2008</t>
        </is>
      </c>
      <c r="D5" s="75" t="n">
        <v>2</v>
      </c>
      <c r="E5" s="75" t="n">
        <v>2</v>
      </c>
      <c r="F5" s="75" t="n">
        <v>2</v>
      </c>
      <c r="G5" s="75" t="n">
        <v>1</v>
      </c>
      <c r="H5" s="75" t="n">
        <v>2</v>
      </c>
      <c r="I5" s="75" t="n">
        <v>2</v>
      </c>
      <c r="J5" s="75" t="n">
        <v>1</v>
      </c>
      <c r="K5" s="75" t="n">
        <v>0</v>
      </c>
      <c r="L5" s="75" t="n">
        <v>2</v>
      </c>
      <c r="M5" s="75" t="n">
        <v>2</v>
      </c>
      <c r="N5" s="75">
        <f>SUM(D5:M5)</f>
        <v/>
      </c>
      <c r="O5" s="75">
        <f>IF(N5&gt;=16,"Alta calidad",IF(N5&gt;=11,"Media calidad","Baja calidad"))</f>
        <v/>
      </c>
      <c r="P5" s="75" t="inlineStr">
        <is>
          <t>Agallas foliares</t>
        </is>
      </c>
    </row>
    <row r="6" ht="32" customHeight="1" s="34">
      <c r="A6" s="74" t="inlineStr">
        <is>
          <t>B0003</t>
        </is>
      </c>
      <c r="B6" s="74" t="inlineStr">
        <is>
          <t>BibTeX</t>
        </is>
      </c>
      <c r="C6" s="74" t="inlineStr">
        <is>
          <t>Relationship between the phytochemical diversity in creole avocado (Persea americana var. drymifolia) leaves and the incidence of foliar gall psyllid (Trioza anceps)</t>
        </is>
      </c>
      <c r="D6" s="74" t="n">
        <v>2</v>
      </c>
      <c r="E6" s="74" t="n">
        <v>2</v>
      </c>
      <c r="F6" s="74" t="n">
        <v>2</v>
      </c>
      <c r="G6" s="74" t="n">
        <v>2</v>
      </c>
      <c r="H6" s="74" t="n">
        <v>1</v>
      </c>
      <c r="I6" s="74" t="n">
        <v>2</v>
      </c>
      <c r="J6" s="74" t="n">
        <v>1</v>
      </c>
      <c r="K6" s="74" t="n">
        <v>0</v>
      </c>
      <c r="L6" s="74" t="n">
        <v>2</v>
      </c>
      <c r="M6" s="74" t="n">
        <v>2</v>
      </c>
      <c r="N6" s="74">
        <f>SUM(D6:M6)</f>
        <v/>
      </c>
      <c r="O6" s="74">
        <f>IF(N6&gt;=16,"Alta calidad",IF(N6&gt;=11,"Media calidad","Baja calidad"))</f>
        <v/>
      </c>
      <c r="P6" s="74" t="inlineStr">
        <is>
          <t>Agallas foliares</t>
        </is>
      </c>
    </row>
    <row r="7" ht="32" customHeight="1" s="34">
      <c r="A7" s="75" t="inlineStr">
        <is>
          <t>B0004</t>
        </is>
      </c>
      <c r="B7" s="75" t="inlineStr">
        <is>
          <t>BibTeX</t>
        </is>
      </c>
      <c r="C7" s="75" t="inlineStr">
        <is>
          <t>The foliar chemical profile of criollo avocado, Persea americana var. drymifolia (Lauraceae), and its relationship with the incidence of a gall-forming insect, Trioza anceps (Triozidae)</t>
        </is>
      </c>
      <c r="D7" s="75" t="n">
        <v>2</v>
      </c>
      <c r="E7" s="75" t="n">
        <v>2</v>
      </c>
      <c r="F7" s="75" t="n">
        <v>2</v>
      </c>
      <c r="G7" s="75" t="n">
        <v>2</v>
      </c>
      <c r="H7" s="75" t="n">
        <v>1</v>
      </c>
      <c r="I7" s="75" t="n">
        <v>2</v>
      </c>
      <c r="J7" s="75" t="n">
        <v>1</v>
      </c>
      <c r="K7" s="75" t="n">
        <v>0</v>
      </c>
      <c r="L7" s="75" t="n">
        <v>2</v>
      </c>
      <c r="M7" s="75" t="n">
        <v>2</v>
      </c>
      <c r="N7" s="75">
        <f>SUM(D7:M7)</f>
        <v/>
      </c>
      <c r="O7" s="75">
        <f>IF(N7&gt;=16,"Alta calidad",IF(N7&gt;=11,"Media calidad","Baja calidad"))</f>
        <v/>
      </c>
      <c r="P7" s="75" t="inlineStr">
        <is>
          <t>Agallas foliares</t>
        </is>
      </c>
    </row>
    <row r="8" ht="32" customHeight="1" s="34">
      <c r="A8" s="74" t="inlineStr">
        <is>
          <t>B0005</t>
        </is>
      </c>
      <c r="B8" s="74" t="inlineStr">
        <is>
          <t>PDF local</t>
        </is>
      </c>
      <c r="C8" s="74" t="inlineStr">
        <is>
          <t>Silica-based nanomaterials for the control of Trioza anceps: Laboratory bioassays and preliminary field observations</t>
        </is>
      </c>
      <c r="D8" s="74" t="n">
        <v>2</v>
      </c>
      <c r="E8" s="74" t="n">
        <v>2</v>
      </c>
      <c r="F8" s="74" t="n">
        <v>2</v>
      </c>
      <c r="G8" s="74" t="n">
        <v>2</v>
      </c>
      <c r="H8" s="74" t="n">
        <v>2</v>
      </c>
      <c r="I8" s="74" t="n">
        <v>2</v>
      </c>
      <c r="J8" s="74" t="n">
        <v>1</v>
      </c>
      <c r="K8" s="74" t="n">
        <v>2</v>
      </c>
      <c r="L8" s="74" t="n">
        <v>2</v>
      </c>
      <c r="M8" s="74" t="n">
        <v>2</v>
      </c>
      <c r="N8" s="74">
        <f>SUM(D8:M8)</f>
        <v/>
      </c>
      <c r="O8" s="74">
        <f>IF(N8&gt;=16,"Alta calidad",IF(N8&gt;=11,"Media calidad","Baja calidad"))</f>
        <v/>
      </c>
      <c r="P8" s="74" t="inlineStr">
        <is>
          <t>Agallas foliares</t>
        </is>
      </c>
    </row>
    <row r="9" ht="32" customHeight="1" s="34">
      <c r="A9" s="75" t="inlineStr">
        <is>
          <t>B0006</t>
        </is>
      </c>
      <c r="B9" s="75" t="inlineStr">
        <is>
          <t>IEEE Xplore</t>
        </is>
      </c>
      <c r="C9" s="75" t="inlineStr">
        <is>
          <t>Unified Approach for Avocado Leaf Disease Classification CNN-SVM Fusion</t>
        </is>
      </c>
      <c r="D9" s="75" t="n">
        <v>2</v>
      </c>
      <c r="E9" s="75" t="n">
        <v>2</v>
      </c>
      <c r="F9" s="75" t="n">
        <v>2</v>
      </c>
      <c r="G9" s="75" t="n">
        <v>2</v>
      </c>
      <c r="H9" s="75" t="n">
        <v>2</v>
      </c>
      <c r="I9" s="75" t="n">
        <v>2</v>
      </c>
      <c r="J9" s="75" t="n">
        <v>2</v>
      </c>
      <c r="K9" s="75" t="n">
        <v>0</v>
      </c>
      <c r="L9" s="75" t="n">
        <v>2</v>
      </c>
      <c r="M9" s="75" t="n">
        <v>2</v>
      </c>
      <c r="N9" s="75">
        <f>SUM(D9:M9)</f>
        <v/>
      </c>
      <c r="O9" s="75">
        <f>IF(N9&gt;=16,"Alta calidad",IF(N9&gt;=11,"Media calidad","Baja calidad"))</f>
        <v/>
      </c>
      <c r="P9" s="75" t="inlineStr">
        <is>
          <t>Antracnosis</t>
        </is>
      </c>
    </row>
    <row r="10" ht="32" customHeight="1" s="34">
      <c r="A10" s="74" t="inlineStr">
        <is>
          <t>B0007</t>
        </is>
      </c>
      <c r="B10" s="74" t="inlineStr">
        <is>
          <t>Web / DOI</t>
        </is>
      </c>
      <c r="C10" s="74" t="inlineStr">
        <is>
          <t>01 Antracnosis Uysal Kurt 2020</t>
        </is>
      </c>
      <c r="D10" s="74" t="n">
        <v>2</v>
      </c>
      <c r="E10" s="74" t="n">
        <v>2</v>
      </c>
      <c r="F10" s="74" t="n">
        <v>1</v>
      </c>
      <c r="G10" s="74" t="n">
        <v>1</v>
      </c>
      <c r="H10" s="74" t="n">
        <v>2</v>
      </c>
      <c r="I10" s="74" t="n">
        <v>2</v>
      </c>
      <c r="J10" s="74" t="n">
        <v>1</v>
      </c>
      <c r="K10" s="74" t="n">
        <v>0</v>
      </c>
      <c r="L10" s="74" t="n">
        <v>2</v>
      </c>
      <c r="M10" s="74" t="n">
        <v>2</v>
      </c>
      <c r="N10" s="74">
        <f>SUM(D10:M10)</f>
        <v/>
      </c>
      <c r="O10" s="74">
        <f>IF(N10&gt;=16,"Alta calidad",IF(N10&gt;=11,"Media calidad","Baja calidad"))</f>
        <v/>
      </c>
      <c r="P10" s="74" t="inlineStr">
        <is>
          <t>Antracnosis</t>
        </is>
      </c>
    </row>
    <row r="11" ht="32" customHeight="1" s="34">
      <c r="A11" s="75" t="inlineStr">
        <is>
          <t>B0008</t>
        </is>
      </c>
      <c r="B11" s="75" t="inlineStr">
        <is>
          <t>Scopus</t>
        </is>
      </c>
      <c r="C11" s="75" t="inlineStr">
        <is>
          <t>Identification of pathogen species of avocado leaf anthracnose in Chongzuo, Guangxi; [广西崇左油梨叶部炭疽病病原菌分离与鉴定]</t>
        </is>
      </c>
      <c r="D11" s="75" t="n">
        <v>2</v>
      </c>
      <c r="E11" s="75" t="n">
        <v>2</v>
      </c>
      <c r="F11" s="75" t="n">
        <v>2</v>
      </c>
      <c r="G11" s="75" t="n">
        <v>2</v>
      </c>
      <c r="H11" s="75" t="n">
        <v>1</v>
      </c>
      <c r="I11" s="75" t="n">
        <v>2</v>
      </c>
      <c r="J11" s="75" t="n">
        <v>1</v>
      </c>
      <c r="K11" s="75" t="n">
        <v>2</v>
      </c>
      <c r="L11" s="75" t="n">
        <v>2</v>
      </c>
      <c r="M11" s="75" t="n">
        <v>2</v>
      </c>
      <c r="N11" s="75">
        <f>SUM(D11:M11)</f>
        <v/>
      </c>
      <c r="O11" s="75">
        <f>IF(N11&gt;=16,"Alta calidad",IF(N11&gt;=11,"Media calidad","Baja calidad"))</f>
        <v/>
      </c>
      <c r="P11" s="75" t="inlineStr">
        <is>
          <t>Antracnosis</t>
        </is>
      </c>
    </row>
    <row r="12" ht="32" customHeight="1" s="34">
      <c r="A12" s="74" t="inlineStr">
        <is>
          <t>B0009</t>
        </is>
      </c>
      <c r="B12" s="74" t="inlineStr">
        <is>
          <t>IEEE Xplore</t>
        </is>
      </c>
      <c r="C12" s="74" t="inlineStr">
        <is>
          <t>Unified Approach for Avocado Leaf Disease Classification: CNN-SVM Fusion</t>
        </is>
      </c>
      <c r="D12" s="74" t="n">
        <v>2</v>
      </c>
      <c r="E12" s="74" t="n">
        <v>2</v>
      </c>
      <c r="F12" s="74" t="n">
        <v>2</v>
      </c>
      <c r="G12" s="74" t="n">
        <v>2</v>
      </c>
      <c r="H12" s="74" t="n">
        <v>2</v>
      </c>
      <c r="I12" s="74" t="n">
        <v>2</v>
      </c>
      <c r="J12" s="74" t="n">
        <v>2</v>
      </c>
      <c r="K12" s="74" t="n">
        <v>2</v>
      </c>
      <c r="L12" s="74" t="n">
        <v>2</v>
      </c>
      <c r="M12" s="74" t="n">
        <v>2</v>
      </c>
      <c r="N12" s="74">
        <f>SUM(D12:M12)</f>
        <v/>
      </c>
      <c r="O12" s="74">
        <f>IF(N12&gt;=16,"Alta calidad",IF(N12&gt;=11,"Media calidad","Baja calidad"))</f>
        <v/>
      </c>
      <c r="P12" s="74" t="inlineStr">
        <is>
          <t>Antracnosis</t>
        </is>
      </c>
    </row>
    <row r="13" ht="32" customHeight="1" s="34">
      <c r="A13" s="75" t="inlineStr">
        <is>
          <t>B0010</t>
        </is>
      </c>
      <c r="B13" s="75" t="inlineStr">
        <is>
          <t>Scopus</t>
        </is>
      </c>
      <c r="C13" s="75" t="inlineStr">
        <is>
          <t>Real-Time Avocado Plant Health and Disease Detection Using UAV Imagery with Faster R-CNN Algorithm</t>
        </is>
      </c>
      <c r="D13" s="75" t="n">
        <v>2</v>
      </c>
      <c r="E13" s="75" t="n">
        <v>2</v>
      </c>
      <c r="F13" s="75" t="n">
        <v>1</v>
      </c>
      <c r="G13" s="75" t="n">
        <v>2</v>
      </c>
      <c r="H13" s="75" t="n">
        <v>1</v>
      </c>
      <c r="I13" s="75" t="n">
        <v>2</v>
      </c>
      <c r="J13" s="75" t="n">
        <v>2</v>
      </c>
      <c r="K13" s="75" t="n">
        <v>2</v>
      </c>
      <c r="L13" s="75" t="n">
        <v>2</v>
      </c>
      <c r="M13" s="75" t="n">
        <v>2</v>
      </c>
      <c r="N13" s="75">
        <f>SUM(D13:M13)</f>
        <v/>
      </c>
      <c r="O13" s="75">
        <f>IF(N13&gt;=16,"Alta calidad",IF(N13&gt;=11,"Media calidad","Baja calidad"))</f>
        <v/>
      </c>
      <c r="P13" s="75" t="inlineStr">
        <is>
          <t>Antracnosis</t>
        </is>
      </c>
    </row>
    <row r="14" ht="32" customHeight="1" s="34">
      <c r="A14" s="74" t="inlineStr">
        <is>
          <t>B0011</t>
        </is>
      </c>
      <c r="B14" s="74" t="inlineStr">
        <is>
          <t>Springer</t>
        </is>
      </c>
      <c r="C14" s="74" t="inlineStr">
        <is>
          <t>Burkholderia contaminans siderophore‑rich supernatants suppress post‑harvest anthracnose in avocado fruits Coyolxauhqui Barrera‑Galicia1 · Sergio A</t>
        </is>
      </c>
      <c r="D14" s="74" t="n">
        <v>2</v>
      </c>
      <c r="E14" s="74" t="n">
        <v>2</v>
      </c>
      <c r="F14" s="74" t="n">
        <v>1</v>
      </c>
      <c r="G14" s="74" t="n">
        <v>2</v>
      </c>
      <c r="H14" s="74" t="n">
        <v>2</v>
      </c>
      <c r="I14" s="74" t="n">
        <v>2</v>
      </c>
      <c r="J14" s="74" t="n">
        <v>1</v>
      </c>
      <c r="K14" s="74" t="n">
        <v>2</v>
      </c>
      <c r="L14" s="74" t="n">
        <v>2</v>
      </c>
      <c r="M14" s="74" t="n">
        <v>2</v>
      </c>
      <c r="N14" s="74">
        <f>SUM(D14:M14)</f>
        <v/>
      </c>
      <c r="O14" s="74">
        <f>IF(N14&gt;=16,"Alta calidad",IF(N14&gt;=11,"Media calidad","Baja calidad"))</f>
        <v/>
      </c>
      <c r="P14" s="74" t="inlineStr">
        <is>
          <t>Antracnosis</t>
        </is>
      </c>
    </row>
    <row r="15" ht="32" customHeight="1" s="34">
      <c r="A15" s="75" t="inlineStr">
        <is>
          <t>B0012</t>
        </is>
      </c>
      <c r="B15" s="75" t="inlineStr">
        <is>
          <t>Scopus</t>
        </is>
      </c>
      <c r="C15" s="75" t="inlineStr">
        <is>
          <t>Identification and Pathogenicity of Botryosphaeriaceae, Colletotrichum, and Phytophthora Species Associated with Avocado Diseases in Italy</t>
        </is>
      </c>
      <c r="D15" s="75" t="n">
        <v>2</v>
      </c>
      <c r="E15" s="75" t="n">
        <v>2</v>
      </c>
      <c r="F15" s="75" t="n">
        <v>1</v>
      </c>
      <c r="G15" s="75" t="n">
        <v>2</v>
      </c>
      <c r="H15" s="75" t="n">
        <v>1</v>
      </c>
      <c r="I15" s="75" t="n">
        <v>2</v>
      </c>
      <c r="J15" s="75" t="n">
        <v>1</v>
      </c>
      <c r="K15" s="75" t="n">
        <v>2</v>
      </c>
      <c r="L15" s="75" t="n">
        <v>2</v>
      </c>
      <c r="M15" s="75" t="n">
        <v>2</v>
      </c>
      <c r="N15" s="75">
        <f>SUM(D15:M15)</f>
        <v/>
      </c>
      <c r="O15" s="75">
        <f>IF(N15&gt;=16,"Alta calidad",IF(N15&gt;=11,"Media calidad","Baja calidad"))</f>
        <v/>
      </c>
      <c r="P15" s="75" t="inlineStr">
        <is>
          <t>Antracnosis</t>
        </is>
      </c>
    </row>
    <row r="16" ht="32" customHeight="1" s="34">
      <c r="A16" s="74" t="inlineStr">
        <is>
          <t>B0013</t>
        </is>
      </c>
      <c r="B16" s="74" t="inlineStr">
        <is>
          <t>PDF local</t>
        </is>
      </c>
      <c r="C16" s="74" t="inlineStr">
        <is>
          <t>s41598-026-50025-z</t>
        </is>
      </c>
      <c r="D16" s="74" t="n">
        <v>2</v>
      </c>
      <c r="E16" s="74" t="n">
        <v>2</v>
      </c>
      <c r="F16" s="74" t="n">
        <v>2</v>
      </c>
      <c r="G16" s="74" t="n">
        <v>2</v>
      </c>
      <c r="H16" s="74" t="n">
        <v>2</v>
      </c>
      <c r="I16" s="74" t="n">
        <v>2</v>
      </c>
      <c r="J16" s="74" t="n">
        <v>2</v>
      </c>
      <c r="K16" s="74" t="n">
        <v>2</v>
      </c>
      <c r="L16" s="74" t="n">
        <v>2</v>
      </c>
      <c r="M16" s="74" t="n">
        <v>2</v>
      </c>
      <c r="N16" s="74">
        <f>SUM(D16:M16)</f>
        <v/>
      </c>
      <c r="O16" s="74">
        <f>IF(N16&gt;=16,"Alta calidad",IF(N16&gt;=11,"Media calidad","Baja calidad"))</f>
        <v/>
      </c>
      <c r="P16" s="74" t="inlineStr">
        <is>
          <t>Antracnosis</t>
        </is>
      </c>
    </row>
    <row r="17" ht="32" customHeight="1" s="34">
      <c r="A17" s="75" t="inlineStr">
        <is>
          <t>B0014</t>
        </is>
      </c>
      <c r="B17" s="75" t="inlineStr">
        <is>
          <t>PDF local</t>
        </is>
      </c>
      <c r="C17" s="75" t="inlineStr">
        <is>
          <t>Spatial Mapping of Avocado Anthracnose Severity Using UAV-Derived Vegetation Indices in Amazonas, Peru</t>
        </is>
      </c>
      <c r="D17" s="75" t="n">
        <v>2</v>
      </c>
      <c r="E17" s="75" t="n">
        <v>2</v>
      </c>
      <c r="F17" s="75" t="n">
        <v>1</v>
      </c>
      <c r="G17" s="75" t="n">
        <v>2</v>
      </c>
      <c r="H17" s="75" t="n">
        <v>2</v>
      </c>
      <c r="I17" s="75" t="n">
        <v>2</v>
      </c>
      <c r="J17" s="75" t="n">
        <v>2</v>
      </c>
      <c r="K17" s="75" t="n">
        <v>2</v>
      </c>
      <c r="L17" s="75" t="n">
        <v>2</v>
      </c>
      <c r="M17" s="75" t="n">
        <v>2</v>
      </c>
      <c r="N17" s="75">
        <f>SUM(D17:M17)</f>
        <v/>
      </c>
      <c r="O17" s="75">
        <f>IF(N17&gt;=16,"Alta calidad",IF(N17&gt;=11,"Media calidad","Baja calidad"))</f>
        <v/>
      </c>
      <c r="P17" s="75" t="inlineStr">
        <is>
          <t>Antracnosis</t>
        </is>
      </c>
    </row>
    <row r="18" ht="32" customHeight="1" s="34">
      <c r="A18" s="74" t="inlineStr">
        <is>
          <t>B0015</t>
        </is>
      </c>
      <c r="B18" s="74" t="inlineStr">
        <is>
          <t>Scopus</t>
        </is>
      </c>
      <c r="C18" s="74" t="inlineStr">
        <is>
          <t>Spatial Mapping of Avocado Anthracnose Severity Using UAV-Derived Vegetation Indices in Amazonas, Peru</t>
        </is>
      </c>
      <c r="D18" s="74" t="n">
        <v>2</v>
      </c>
      <c r="E18" s="74" t="n">
        <v>2</v>
      </c>
      <c r="F18" s="74" t="n">
        <v>1</v>
      </c>
      <c r="G18" s="74" t="n">
        <v>2</v>
      </c>
      <c r="H18" s="74" t="n">
        <v>1</v>
      </c>
      <c r="I18" s="74" t="n">
        <v>2</v>
      </c>
      <c r="J18" s="74" t="n">
        <v>2</v>
      </c>
      <c r="K18" s="74" t="n">
        <v>2</v>
      </c>
      <c r="L18" s="74" t="n">
        <v>2</v>
      </c>
      <c r="M18" s="74" t="n">
        <v>2</v>
      </c>
      <c r="N18" s="74">
        <f>SUM(D18:M18)</f>
        <v/>
      </c>
      <c r="O18" s="74">
        <f>IF(N18&gt;=16,"Alta calidad",IF(N18&gt;=11,"Media calidad","Baja calidad"))</f>
        <v/>
      </c>
      <c r="P18" s="74" t="inlineStr">
        <is>
          <t>Antracnosis</t>
        </is>
      </c>
    </row>
    <row r="19" ht="32" customHeight="1" s="34">
      <c r="A19" s="75" t="inlineStr">
        <is>
          <t>B0016</t>
        </is>
      </c>
      <c r="B19" s="75" t="inlineStr">
        <is>
          <t>IEEE Xplore</t>
        </is>
      </c>
      <c r="C19" s="75" t="inlineStr">
        <is>
          <t>CNN-Based Plant Leaf Disease Identification and Classification for Sustainable Agriculture</t>
        </is>
      </c>
      <c r="D19" s="75" t="n">
        <v>2</v>
      </c>
      <c r="E19" s="75" t="n">
        <v>1</v>
      </c>
      <c r="F19" s="75" t="n">
        <v>2</v>
      </c>
      <c r="G19" s="75" t="n">
        <v>1</v>
      </c>
      <c r="H19" s="75" t="n">
        <v>2</v>
      </c>
      <c r="I19" s="75" t="n">
        <v>2</v>
      </c>
      <c r="J19" s="75" t="n">
        <v>2</v>
      </c>
      <c r="K19" s="75" t="n">
        <v>0</v>
      </c>
      <c r="L19" s="75" t="n">
        <v>2</v>
      </c>
      <c r="M19" s="75" t="n">
        <v>2</v>
      </c>
      <c r="N19" s="75">
        <f>SUM(D19:M19)</f>
        <v/>
      </c>
      <c r="O19" s="75">
        <f>IF(N19&gt;=16,"Alta calidad",IF(N19&gt;=11,"Media calidad","Baja calidad"))</f>
        <v/>
      </c>
      <c r="P19" s="75" t="inlineStr">
        <is>
          <t>Apoyo metodológico</t>
        </is>
      </c>
    </row>
    <row r="20" ht="32" customHeight="1" s="34">
      <c r="A20" s="74" t="inlineStr">
        <is>
          <t>B0017</t>
        </is>
      </c>
      <c r="B20" s="74" t="inlineStr">
        <is>
          <t>IEEE Xplore</t>
        </is>
      </c>
      <c r="C20" s="74" t="inlineStr">
        <is>
          <t>Crop Disease Prediction System</t>
        </is>
      </c>
      <c r="D20" s="74" t="n">
        <v>2</v>
      </c>
      <c r="E20" s="74" t="n">
        <v>1</v>
      </c>
      <c r="F20" s="74" t="n">
        <v>1</v>
      </c>
      <c r="G20" s="74" t="n">
        <v>1</v>
      </c>
      <c r="H20" s="74" t="n">
        <v>2</v>
      </c>
      <c r="I20" s="74" t="n">
        <v>2</v>
      </c>
      <c r="J20" s="74" t="n">
        <v>1</v>
      </c>
      <c r="K20" s="74" t="n">
        <v>0</v>
      </c>
      <c r="L20" s="74" t="n">
        <v>2</v>
      </c>
      <c r="M20" s="74" t="n">
        <v>2</v>
      </c>
      <c r="N20" s="74">
        <f>SUM(D20:M20)</f>
        <v/>
      </c>
      <c r="O20" s="74">
        <f>IF(N20&gt;=16,"Alta calidad",IF(N20&gt;=11,"Media calidad","Baja calidad"))</f>
        <v/>
      </c>
      <c r="P20" s="74" t="inlineStr">
        <is>
          <t>Apoyo metodológico</t>
        </is>
      </c>
    </row>
    <row r="21" ht="32" customHeight="1" s="34">
      <c r="A21" s="75" t="inlineStr">
        <is>
          <t>B0018</t>
        </is>
      </c>
      <c r="B21" s="75" t="inlineStr">
        <is>
          <t>IEEE Xplore</t>
        </is>
      </c>
      <c r="C21" s="75" t="inlineStr">
        <is>
          <t>Image-Based Plant Leaf Disease Detection using Deep Learning</t>
        </is>
      </c>
      <c r="D21" s="75" t="n">
        <v>2</v>
      </c>
      <c r="E21" s="75" t="n">
        <v>1</v>
      </c>
      <c r="F21" s="75" t="n">
        <v>2</v>
      </c>
      <c r="G21" s="75" t="n">
        <v>1</v>
      </c>
      <c r="H21" s="75" t="n">
        <v>2</v>
      </c>
      <c r="I21" s="75" t="n">
        <v>2</v>
      </c>
      <c r="J21" s="75" t="n">
        <v>2</v>
      </c>
      <c r="K21" s="75" t="n">
        <v>0</v>
      </c>
      <c r="L21" s="75" t="n">
        <v>2</v>
      </c>
      <c r="M21" s="75" t="n">
        <v>2</v>
      </c>
      <c r="N21" s="75">
        <f>SUM(D21:M21)</f>
        <v/>
      </c>
      <c r="O21" s="75">
        <f>IF(N21&gt;=16,"Alta calidad",IF(N21&gt;=11,"Media calidad","Baja calidad"))</f>
        <v/>
      </c>
      <c r="P21" s="75" t="inlineStr">
        <is>
          <t>Apoyo metodológico</t>
        </is>
      </c>
    </row>
    <row r="22" ht="32" customHeight="1" s="34">
      <c r="A22" s="74" t="inlineStr">
        <is>
          <t>B0019</t>
        </is>
      </c>
      <c r="B22" s="74" t="inlineStr">
        <is>
          <t>IEEE Xplore</t>
        </is>
      </c>
      <c r="C22" s="74" t="inlineStr">
        <is>
          <t>Plant Disease Detection Using Deep Learning</t>
        </is>
      </c>
      <c r="D22" s="74" t="n">
        <v>2</v>
      </c>
      <c r="E22" s="74" t="n">
        <v>1</v>
      </c>
      <c r="F22" s="74" t="n">
        <v>1</v>
      </c>
      <c r="G22" s="74" t="n">
        <v>1</v>
      </c>
      <c r="H22" s="74" t="n">
        <v>2</v>
      </c>
      <c r="I22" s="74" t="n">
        <v>2</v>
      </c>
      <c r="J22" s="74" t="n">
        <v>2</v>
      </c>
      <c r="K22" s="74" t="n">
        <v>0</v>
      </c>
      <c r="L22" s="74" t="n">
        <v>2</v>
      </c>
      <c r="M22" s="74" t="n">
        <v>2</v>
      </c>
      <c r="N22" s="74">
        <f>SUM(D22:M22)</f>
        <v/>
      </c>
      <c r="O22" s="74">
        <f>IF(N22&gt;=16,"Alta calidad",IF(N22&gt;=11,"Media calidad","Baja calidad"))</f>
        <v/>
      </c>
      <c r="P22" s="74" t="inlineStr">
        <is>
          <t>Apoyo metodológico</t>
        </is>
      </c>
    </row>
    <row r="23" ht="32" customHeight="1" s="34">
      <c r="A23" s="75" t="inlineStr">
        <is>
          <t>B0020</t>
        </is>
      </c>
      <c r="B23" s="75" t="inlineStr">
        <is>
          <t>IEEE Xplore</t>
        </is>
      </c>
      <c r="C23" s="75" t="inlineStr">
        <is>
          <t>Real-Time Detection and Identification of Plant Leaf Diseases using YOLOv4-tiny</t>
        </is>
      </c>
      <c r="D23" s="75" t="n">
        <v>2</v>
      </c>
      <c r="E23" s="75" t="n">
        <v>1</v>
      </c>
      <c r="F23" s="75" t="n">
        <v>2</v>
      </c>
      <c r="G23" s="75" t="n">
        <v>1</v>
      </c>
      <c r="H23" s="75" t="n">
        <v>2</v>
      </c>
      <c r="I23" s="75" t="n">
        <v>2</v>
      </c>
      <c r="J23" s="75" t="n">
        <v>2</v>
      </c>
      <c r="K23" s="75" t="n">
        <v>0</v>
      </c>
      <c r="L23" s="75" t="n">
        <v>2</v>
      </c>
      <c r="M23" s="75" t="n">
        <v>2</v>
      </c>
      <c r="N23" s="75">
        <f>SUM(D23:M23)</f>
        <v/>
      </c>
      <c r="O23" s="75">
        <f>IF(N23&gt;=16,"Alta calidad",IF(N23&gt;=11,"Media calidad","Baja calidad"))</f>
        <v/>
      </c>
      <c r="P23" s="75" t="inlineStr">
        <is>
          <t>Apoyo metodológico</t>
        </is>
      </c>
    </row>
    <row r="24" ht="32" customHeight="1" s="34">
      <c r="A24" s="74" t="inlineStr">
        <is>
          <t>B0021</t>
        </is>
      </c>
      <c r="B24" s="74" t="inlineStr">
        <is>
          <t>PDF local</t>
        </is>
      </c>
      <c r="C24" s="74" t="inlineStr">
        <is>
          <t>Simultaneously prediction of multiple wheat leaf phenotypes using hyperspectral imaging with multi-task machine and deep learning</t>
        </is>
      </c>
      <c r="D24" s="74" t="n">
        <v>2</v>
      </c>
      <c r="E24" s="74" t="n">
        <v>1</v>
      </c>
      <c r="F24" s="74" t="n">
        <v>2</v>
      </c>
      <c r="G24" s="74" t="n">
        <v>1</v>
      </c>
      <c r="H24" s="74" t="n">
        <v>2</v>
      </c>
      <c r="I24" s="74" t="n">
        <v>2</v>
      </c>
      <c r="J24" s="74" t="n">
        <v>2</v>
      </c>
      <c r="K24" s="74" t="n">
        <v>0</v>
      </c>
      <c r="L24" s="74" t="n">
        <v>2</v>
      </c>
      <c r="M24" s="74" t="n">
        <v>2</v>
      </c>
      <c r="N24" s="74">
        <f>SUM(D24:M24)</f>
        <v/>
      </c>
      <c r="O24" s="74">
        <f>IF(N24&gt;=16,"Alta calidad",IF(N24&gt;=11,"Media calidad","Baja calidad"))</f>
        <v/>
      </c>
      <c r="P24" s="74" t="inlineStr">
        <is>
          <t>Apoyo metodológico</t>
        </is>
      </c>
    </row>
    <row r="25" ht="32" customHeight="1" s="34">
      <c r="A25" s="75" t="inlineStr">
        <is>
          <t>B0022</t>
        </is>
      </c>
      <c r="B25" s="75" t="inlineStr">
        <is>
          <t>PDF local</t>
        </is>
      </c>
      <c r="C25" s="75" t="inlineStr">
        <is>
          <t>Mitigating negative effects of long-term treated wastewater irrigation: Leaf gas exchange and water use efficiency response of avocado trees ( Persea americana Mill.)</t>
        </is>
      </c>
      <c r="D25" s="75" t="n">
        <v>2</v>
      </c>
      <c r="E25" s="75" t="n">
        <v>1</v>
      </c>
      <c r="F25" s="75" t="n">
        <v>2</v>
      </c>
      <c r="G25" s="75" t="n">
        <v>2</v>
      </c>
      <c r="H25" s="75" t="n">
        <v>2</v>
      </c>
      <c r="I25" s="75" t="n">
        <v>2</v>
      </c>
      <c r="J25" s="75" t="n">
        <v>1</v>
      </c>
      <c r="K25" s="75" t="n">
        <v>2</v>
      </c>
      <c r="L25" s="75" t="n">
        <v>2</v>
      </c>
      <c r="M25" s="75" t="n">
        <v>2</v>
      </c>
      <c r="N25" s="75">
        <f>SUM(D25:M25)</f>
        <v/>
      </c>
      <c r="O25" s="75">
        <f>IF(N25&gt;=16,"Alta calidad",IF(N25&gt;=11,"Media calidad","Baja calidad"))</f>
        <v/>
      </c>
      <c r="P25" s="75" t="inlineStr">
        <is>
          <t>Apoyo metodológico</t>
        </is>
      </c>
    </row>
    <row r="26" ht="32" customHeight="1" s="34">
      <c r="A26" s="74" t="inlineStr">
        <is>
          <t>B0023</t>
        </is>
      </c>
      <c r="B26" s="74" t="inlineStr">
        <is>
          <t>IEEE Xplore</t>
        </is>
      </c>
      <c r="C26" s="74" t="inlineStr">
        <is>
          <t>Plant Disease Detection Using Deep Learning</t>
        </is>
      </c>
      <c r="D26" s="74" t="n">
        <v>2</v>
      </c>
      <c r="E26" s="74" t="n">
        <v>1</v>
      </c>
      <c r="F26" s="74" t="n">
        <v>1</v>
      </c>
      <c r="G26" s="74" t="n">
        <v>1</v>
      </c>
      <c r="H26" s="74" t="n">
        <v>2</v>
      </c>
      <c r="I26" s="74" t="n">
        <v>2</v>
      </c>
      <c r="J26" s="74" t="n">
        <v>2</v>
      </c>
      <c r="K26" s="74" t="n">
        <v>2</v>
      </c>
      <c r="L26" s="74" t="n">
        <v>2</v>
      </c>
      <c r="M26" s="74" t="n">
        <v>2</v>
      </c>
      <c r="N26" s="74">
        <f>SUM(D26:M26)</f>
        <v/>
      </c>
      <c r="O26" s="74">
        <f>IF(N26&gt;=16,"Alta calidad",IF(N26&gt;=11,"Media calidad","Baja calidad"))</f>
        <v/>
      </c>
      <c r="P26" s="74" t="inlineStr">
        <is>
          <t>Apoyo metodológico</t>
        </is>
      </c>
    </row>
    <row r="27" ht="32" customHeight="1" s="34">
      <c r="A27" s="75" t="inlineStr">
        <is>
          <t>B0024</t>
        </is>
      </c>
      <c r="B27" s="75" t="inlineStr">
        <is>
          <t>IEEE Xplore</t>
        </is>
      </c>
      <c r="C27" s="75" t="inlineStr">
        <is>
          <t>Real-Time Detection and Identification of Plant Leaf Diseases using YOLOv4-tiny</t>
        </is>
      </c>
      <c r="D27" s="75" t="n">
        <v>2</v>
      </c>
      <c r="E27" s="75" t="n">
        <v>1</v>
      </c>
      <c r="F27" s="75" t="n">
        <v>2</v>
      </c>
      <c r="G27" s="75" t="n">
        <v>1</v>
      </c>
      <c r="H27" s="75" t="n">
        <v>2</v>
      </c>
      <c r="I27" s="75" t="n">
        <v>2</v>
      </c>
      <c r="J27" s="75" t="n">
        <v>2</v>
      </c>
      <c r="K27" s="75" t="n">
        <v>2</v>
      </c>
      <c r="L27" s="75" t="n">
        <v>2</v>
      </c>
      <c r="M27" s="75" t="n">
        <v>2</v>
      </c>
      <c r="N27" s="75">
        <f>SUM(D27:M27)</f>
        <v/>
      </c>
      <c r="O27" s="75">
        <f>IF(N27&gt;=16,"Alta calidad",IF(N27&gt;=11,"Media calidad","Baja calidad"))</f>
        <v/>
      </c>
      <c r="P27" s="75" t="inlineStr">
        <is>
          <t>Apoyo metodológico</t>
        </is>
      </c>
    </row>
    <row r="28" ht="32" customHeight="1" s="34">
      <c r="A28" s="74" t="inlineStr">
        <is>
          <t>B0025</t>
        </is>
      </c>
      <c r="B28" s="74" t="inlineStr">
        <is>
          <t>PDF local</t>
        </is>
      </c>
      <c r="C28" s="74" t="inlineStr">
        <is>
          <t>Implementation of Deep Learning for Image-Based Potato Leaf Disease Detection</t>
        </is>
      </c>
      <c r="D28" s="74" t="n">
        <v>2</v>
      </c>
      <c r="E28" s="74" t="n">
        <v>1</v>
      </c>
      <c r="F28" s="74" t="n">
        <v>2</v>
      </c>
      <c r="G28" s="74" t="n">
        <v>1</v>
      </c>
      <c r="H28" s="74" t="n">
        <v>2</v>
      </c>
      <c r="I28" s="74" t="n">
        <v>2</v>
      </c>
      <c r="J28" s="74" t="n">
        <v>2</v>
      </c>
      <c r="K28" s="74" t="n">
        <v>2</v>
      </c>
      <c r="L28" s="74" t="n">
        <v>2</v>
      </c>
      <c r="M28" s="74" t="n">
        <v>2</v>
      </c>
      <c r="N28" s="74">
        <f>SUM(D28:M28)</f>
        <v/>
      </c>
      <c r="O28" s="74">
        <f>IF(N28&gt;=16,"Alta calidad",IF(N28&gt;=11,"Media calidad","Baja calidad"))</f>
        <v/>
      </c>
      <c r="P28" s="74" t="inlineStr">
        <is>
          <t>Apoyo metodológico</t>
        </is>
      </c>
    </row>
    <row r="29" ht="32" customHeight="1" s="34">
      <c r="A29" s="75" t="inlineStr">
        <is>
          <t>B0026</t>
        </is>
      </c>
      <c r="B29" s="75" t="inlineStr">
        <is>
          <t>IEEE Xplore</t>
        </is>
      </c>
      <c r="C29" s="75" t="inlineStr">
        <is>
          <t>Image-Based Plant Leaf Disease Detection using Deep Learning</t>
        </is>
      </c>
      <c r="D29" s="75" t="n">
        <v>2</v>
      </c>
      <c r="E29" s="75" t="n">
        <v>1</v>
      </c>
      <c r="F29" s="75" t="n">
        <v>2</v>
      </c>
      <c r="G29" s="75" t="n">
        <v>2</v>
      </c>
      <c r="H29" s="75" t="n">
        <v>2</v>
      </c>
      <c r="I29" s="75" t="n">
        <v>2</v>
      </c>
      <c r="J29" s="75" t="n">
        <v>2</v>
      </c>
      <c r="K29" s="75" t="n">
        <v>2</v>
      </c>
      <c r="L29" s="75" t="n">
        <v>2</v>
      </c>
      <c r="M29" s="75" t="n">
        <v>2</v>
      </c>
      <c r="N29" s="75">
        <f>SUM(D29:M29)</f>
        <v/>
      </c>
      <c r="O29" s="75">
        <f>IF(N29&gt;=16,"Alta calidad",IF(N29&gt;=11,"Media calidad","Baja calidad"))</f>
        <v/>
      </c>
      <c r="P29" s="75" t="inlineStr">
        <is>
          <t>Apoyo metodológico</t>
        </is>
      </c>
    </row>
    <row r="30" ht="32" customHeight="1" s="34">
      <c r="A30" s="74" t="inlineStr">
        <is>
          <t>B0027</t>
        </is>
      </c>
      <c r="B30" s="74" t="inlineStr">
        <is>
          <t>IEEE Xplore</t>
        </is>
      </c>
      <c r="C30" s="74" t="inlineStr">
        <is>
          <t>Plant Leaf Disease Detection, Classification, and Diagnosis Using Computer Vision and Artificial Intelligence: A Review</t>
        </is>
      </c>
      <c r="D30" s="74" t="n">
        <v>2</v>
      </c>
      <c r="E30" s="74" t="n">
        <v>1</v>
      </c>
      <c r="F30" s="74" t="n">
        <v>2</v>
      </c>
      <c r="G30" s="74" t="n">
        <v>1</v>
      </c>
      <c r="H30" s="74" t="n">
        <v>2</v>
      </c>
      <c r="I30" s="74" t="n">
        <v>2</v>
      </c>
      <c r="J30" s="74" t="n">
        <v>2</v>
      </c>
      <c r="K30" s="74" t="n">
        <v>2</v>
      </c>
      <c r="L30" s="74" t="n">
        <v>2</v>
      </c>
      <c r="M30" s="74" t="n">
        <v>2</v>
      </c>
      <c r="N30" s="74">
        <f>SUM(D30:M30)</f>
        <v/>
      </c>
      <c r="O30" s="74">
        <f>IF(N30&gt;=16,"Alta calidad",IF(N30&gt;=11,"Media calidad","Baja calidad"))</f>
        <v/>
      </c>
      <c r="P30" s="74" t="inlineStr">
        <is>
          <t>Apoyo metodológico</t>
        </is>
      </c>
    </row>
    <row r="31" ht="32" customHeight="1" s="34">
      <c r="A31" s="75" t="inlineStr">
        <is>
          <t>B0028</t>
        </is>
      </c>
      <c r="B31" s="75" t="inlineStr">
        <is>
          <t>IEEE Xplore</t>
        </is>
      </c>
      <c r="C31" s="75" t="inlineStr">
        <is>
          <t>CNN-Based Plant Leaf Disease Identification and Classification for Sustainable Agriculture</t>
        </is>
      </c>
      <c r="D31" s="75" t="n">
        <v>2</v>
      </c>
      <c r="E31" s="75" t="n">
        <v>1</v>
      </c>
      <c r="F31" s="75" t="n">
        <v>2</v>
      </c>
      <c r="G31" s="75" t="n">
        <v>1</v>
      </c>
      <c r="H31" s="75" t="n">
        <v>2</v>
      </c>
      <c r="I31" s="75" t="n">
        <v>2</v>
      </c>
      <c r="J31" s="75" t="n">
        <v>2</v>
      </c>
      <c r="K31" s="75" t="n">
        <v>2</v>
      </c>
      <c r="L31" s="75" t="n">
        <v>2</v>
      </c>
      <c r="M31" s="75" t="n">
        <v>2</v>
      </c>
      <c r="N31" s="75">
        <f>SUM(D31:M31)</f>
        <v/>
      </c>
      <c r="O31" s="75">
        <f>IF(N31&gt;=16,"Alta calidad",IF(N31&gt;=11,"Media calidad","Baja calidad"))</f>
        <v/>
      </c>
      <c r="P31" s="75" t="inlineStr">
        <is>
          <t>Apoyo metodológico</t>
        </is>
      </c>
    </row>
    <row r="32" ht="32" customHeight="1" s="34">
      <c r="A32" s="74" t="inlineStr">
        <is>
          <t>B0029</t>
        </is>
      </c>
      <c r="B32" s="74" t="inlineStr">
        <is>
          <t>IEEE Xplore</t>
        </is>
      </c>
      <c r="C32" s="74" t="inlineStr">
        <is>
          <t>Crop Disease Prediction System</t>
        </is>
      </c>
      <c r="D32" s="74" t="n">
        <v>2</v>
      </c>
      <c r="E32" s="74" t="n">
        <v>1</v>
      </c>
      <c r="F32" s="74" t="n">
        <v>1</v>
      </c>
      <c r="G32" s="74" t="n">
        <v>1</v>
      </c>
      <c r="H32" s="74" t="n">
        <v>2</v>
      </c>
      <c r="I32" s="74" t="n">
        <v>2</v>
      </c>
      <c r="J32" s="74" t="n">
        <v>2</v>
      </c>
      <c r="K32" s="74" t="n">
        <v>2</v>
      </c>
      <c r="L32" s="74" t="n">
        <v>2</v>
      </c>
      <c r="M32" s="74" t="n">
        <v>2</v>
      </c>
      <c r="N32" s="74">
        <f>SUM(D32:M32)</f>
        <v/>
      </c>
      <c r="O32" s="74">
        <f>IF(N32&gt;=16,"Alta calidad",IF(N32&gt;=11,"Media calidad","Baja calidad"))</f>
        <v/>
      </c>
      <c r="P32" s="74" t="inlineStr">
        <is>
          <t>Apoyo metodológico</t>
        </is>
      </c>
    </row>
    <row r="33" ht="32" customHeight="1" s="34">
      <c r="A33" s="75" t="inlineStr">
        <is>
          <t>B0030</t>
        </is>
      </c>
      <c r="B33" s="75" t="inlineStr">
        <is>
          <t>Web / DOI</t>
        </is>
      </c>
      <c r="C33" s="75" t="inlineStr">
        <is>
          <t>06 Arana roja Oligonychus punicae Oliveira 2021</t>
        </is>
      </c>
      <c r="D33" s="75" t="n">
        <v>2</v>
      </c>
      <c r="E33" s="75" t="n">
        <v>2</v>
      </c>
      <c r="F33" s="75" t="n">
        <v>1</v>
      </c>
      <c r="G33" s="75" t="n">
        <v>1</v>
      </c>
      <c r="H33" s="75" t="n">
        <v>2</v>
      </c>
      <c r="I33" s="75" t="n">
        <v>2</v>
      </c>
      <c r="J33" s="75" t="n">
        <v>1</v>
      </c>
      <c r="K33" s="75" t="n">
        <v>0</v>
      </c>
      <c r="L33" s="75" t="n">
        <v>2</v>
      </c>
      <c r="M33" s="75" t="n">
        <v>2</v>
      </c>
      <c r="N33" s="75">
        <f>SUM(D33:M33)</f>
        <v/>
      </c>
      <c r="O33" s="75">
        <f>IF(N33&gt;=16,"Alta calidad",IF(N33&gt;=11,"Media calidad","Baja calidad"))</f>
        <v/>
      </c>
      <c r="P33" s="75" t="inlineStr">
        <is>
          <t>Araña roja</t>
        </is>
      </c>
    </row>
    <row r="34" ht="32" customHeight="1" s="34">
      <c r="A34" s="74" t="inlineStr">
        <is>
          <t>B0031</t>
        </is>
      </c>
      <c r="B34" s="74" t="inlineStr">
        <is>
          <t>Scopus</t>
        </is>
      </c>
      <c r="C34" s="74" t="inlineStr">
        <is>
          <t>BIOLOGICAL PEST CONTROL OF THE TETRANYCHID MITE OLIGONYCHUS PERSEAE IN AVOCADO AND CHALLENGES TO FACE IN A CLIMATE CHANGE SCENARIO</t>
        </is>
      </c>
      <c r="D34" s="74" t="n">
        <v>2</v>
      </c>
      <c r="E34" s="74" t="n">
        <v>2</v>
      </c>
      <c r="F34" s="74" t="n">
        <v>1</v>
      </c>
      <c r="G34" s="74" t="n">
        <v>2</v>
      </c>
      <c r="H34" s="74" t="n">
        <v>1</v>
      </c>
      <c r="I34" s="74" t="n">
        <v>2</v>
      </c>
      <c r="J34" s="74" t="n">
        <v>1</v>
      </c>
      <c r="K34" s="74" t="n">
        <v>0</v>
      </c>
      <c r="L34" s="74" t="n">
        <v>2</v>
      </c>
      <c r="M34" s="74" t="n">
        <v>2</v>
      </c>
      <c r="N34" s="74">
        <f>SUM(D34:M34)</f>
        <v/>
      </c>
      <c r="O34" s="74">
        <f>IF(N34&gt;=16,"Alta calidad",IF(N34&gt;=11,"Media calidad","Baja calidad"))</f>
        <v/>
      </c>
      <c r="P34" s="74" t="inlineStr">
        <is>
          <t>Araña roja</t>
        </is>
      </c>
    </row>
    <row r="35" ht="32" customHeight="1" s="34">
      <c r="A35" s="75" t="inlineStr">
        <is>
          <t>B0032</t>
        </is>
      </c>
      <c r="B35" s="75" t="inlineStr">
        <is>
          <t>Scopus</t>
        </is>
      </c>
      <c r="C35" s="75" t="inlineStr">
        <is>
          <t>MODELIZACIÓN ESPACIAL DE LAS POBLACIONES DE Oligonychus perseae (TUTTLE, BAKER Y ABATIELLO, 1976) EN EL ESTADO DE MÉXICO; [SPATIAL MODELING OF THE Oligonychus perseae (TUTTLE, BAKER AND ABATIELLO, 1976) POPULATIONS IN THE STATE OF MEXICO]</t>
        </is>
      </c>
      <c r="D35" s="75" t="n">
        <v>2</v>
      </c>
      <c r="E35" s="75" t="n">
        <v>2</v>
      </c>
      <c r="F35" s="75" t="n">
        <v>1</v>
      </c>
      <c r="G35" s="75" t="n">
        <v>2</v>
      </c>
      <c r="H35" s="75" t="n">
        <v>1</v>
      </c>
      <c r="I35" s="75" t="n">
        <v>2</v>
      </c>
      <c r="J35" s="75" t="n">
        <v>1</v>
      </c>
      <c r="K35" s="75" t="n">
        <v>0</v>
      </c>
      <c r="L35" s="75" t="n">
        <v>2</v>
      </c>
      <c r="M35" s="75" t="n">
        <v>2</v>
      </c>
      <c r="N35" s="75">
        <f>SUM(D35:M35)</f>
        <v/>
      </c>
      <c r="O35" s="75">
        <f>IF(N35&gt;=16,"Alta calidad",IF(N35&gt;=11,"Media calidad","Baja calidad"))</f>
        <v/>
      </c>
      <c r="P35" s="75" t="inlineStr">
        <is>
          <t>Araña roja</t>
        </is>
      </c>
    </row>
    <row r="36" ht="32" customHeight="1" s="34">
      <c r="A36" s="74" t="inlineStr">
        <is>
          <t>B0033</t>
        </is>
      </c>
      <c r="B36" s="74" t="inlineStr">
        <is>
          <t>Web / DOI</t>
        </is>
      </c>
      <c r="C36" s="74" t="inlineStr">
        <is>
          <t>05 Arana roja Oligonychus perseae Torres 2022</t>
        </is>
      </c>
      <c r="D36" s="74" t="n">
        <v>2</v>
      </c>
      <c r="E36" s="74" t="n">
        <v>2</v>
      </c>
      <c r="F36" s="74" t="n">
        <v>1</v>
      </c>
      <c r="G36" s="74" t="n">
        <v>2</v>
      </c>
      <c r="H36" s="74" t="n">
        <v>2</v>
      </c>
      <c r="I36" s="74" t="n">
        <v>2</v>
      </c>
      <c r="J36" s="74" t="n">
        <v>1</v>
      </c>
      <c r="K36" s="74" t="n">
        <v>2</v>
      </c>
      <c r="L36" s="74" t="n">
        <v>2</v>
      </c>
      <c r="M36" s="74" t="n">
        <v>2</v>
      </c>
      <c r="N36" s="74">
        <f>SUM(D36:M36)</f>
        <v/>
      </c>
      <c r="O36" s="74">
        <f>IF(N36&gt;=16,"Alta calidad",IF(N36&gt;=11,"Media calidad","Baja calidad"))</f>
        <v/>
      </c>
      <c r="P36" s="74" t="inlineStr">
        <is>
          <t>Araña roja</t>
        </is>
      </c>
    </row>
    <row r="37" ht="32" customHeight="1" s="34">
      <c r="A37" s="75" t="inlineStr">
        <is>
          <t>B0034</t>
        </is>
      </c>
      <c r="B37" s="75" t="inlineStr">
        <is>
          <t>Scopus</t>
        </is>
      </c>
      <c r="C37"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37" s="75" t="n">
        <v>2</v>
      </c>
      <c r="E37" s="75" t="n">
        <v>2</v>
      </c>
      <c r="F37" s="75" t="n">
        <v>1</v>
      </c>
      <c r="G37" s="75" t="n">
        <v>2</v>
      </c>
      <c r="H37" s="75" t="n">
        <v>1</v>
      </c>
      <c r="I37" s="75" t="n">
        <v>2</v>
      </c>
      <c r="J37" s="75" t="n">
        <v>1</v>
      </c>
      <c r="K37" s="75" t="n">
        <v>2</v>
      </c>
      <c r="L37" s="75" t="n">
        <v>2</v>
      </c>
      <c r="M37" s="75" t="n">
        <v>2</v>
      </c>
      <c r="N37" s="75">
        <f>SUM(D37:M37)</f>
        <v/>
      </c>
      <c r="O37" s="75">
        <f>IF(N37&gt;=16,"Alta calidad",IF(N37&gt;=11,"Media calidad","Baja calidad"))</f>
        <v/>
      </c>
      <c r="P37" s="75" t="inlineStr">
        <is>
          <t>Araña roja</t>
        </is>
      </c>
    </row>
    <row r="38" ht="32" customHeight="1" s="34">
      <c r="A38" s="74" t="inlineStr">
        <is>
          <t>B0035</t>
        </is>
      </c>
      <c r="B38" s="74" t="inlineStr">
        <is>
          <t>Scopus</t>
        </is>
      </c>
      <c r="C38"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8" s="74" t="n">
        <v>2</v>
      </c>
      <c r="E38" s="74" t="n">
        <v>2</v>
      </c>
      <c r="F38" s="74" t="n">
        <v>2</v>
      </c>
      <c r="G38" s="74" t="n">
        <v>1</v>
      </c>
      <c r="H38" s="74" t="n">
        <v>1</v>
      </c>
      <c r="I38" s="74" t="n">
        <v>2</v>
      </c>
      <c r="J38" s="74" t="n">
        <v>1</v>
      </c>
      <c r="K38" s="74" t="n">
        <v>2</v>
      </c>
      <c r="L38" s="74" t="n">
        <v>2</v>
      </c>
      <c r="M38" s="74" t="n">
        <v>2</v>
      </c>
      <c r="N38" s="74">
        <f>SUM(D38:M38)</f>
        <v/>
      </c>
      <c r="O38" s="74">
        <f>IF(N38&gt;=16,"Alta calidad",IF(N38&gt;=11,"Media calidad","Baja calidad"))</f>
        <v/>
      </c>
      <c r="P38" s="74" t="inlineStr">
        <is>
          <t>Araña roja</t>
        </is>
      </c>
    </row>
    <row r="39" ht="32" customHeight="1" s="34">
      <c r="A39" s="75" t="inlineStr">
        <is>
          <t>B0036</t>
        </is>
      </c>
      <c r="B39" s="75" t="inlineStr">
        <is>
          <t>Scopus</t>
        </is>
      </c>
      <c r="C39" s="75" t="inlineStr">
        <is>
          <t>Spatial modeling of red spider mite Oligonychus punicae (Acari: Tetranychidae) in avocado crop</t>
        </is>
      </c>
      <c r="D39" s="75" t="n">
        <v>2</v>
      </c>
      <c r="E39" s="75" t="n">
        <v>2</v>
      </c>
      <c r="F39" s="75" t="n">
        <v>1</v>
      </c>
      <c r="G39" s="75" t="n">
        <v>2</v>
      </c>
      <c r="H39" s="75" t="n">
        <v>1</v>
      </c>
      <c r="I39" s="75" t="n">
        <v>2</v>
      </c>
      <c r="J39" s="75" t="n">
        <v>1</v>
      </c>
      <c r="K39" s="75" t="n">
        <v>2</v>
      </c>
      <c r="L39" s="75" t="n">
        <v>2</v>
      </c>
      <c r="M39" s="75" t="n">
        <v>2</v>
      </c>
      <c r="N39" s="75">
        <f>SUM(D39:M39)</f>
        <v/>
      </c>
      <c r="O39" s="75">
        <f>IF(N39&gt;=16,"Alta calidad",IF(N39&gt;=11,"Media calidad","Baja calidad"))</f>
        <v/>
      </c>
      <c r="P39" s="75" t="inlineStr">
        <is>
          <t>Araña roja</t>
        </is>
      </c>
    </row>
    <row r="40" ht="32" customHeight="1" s="34">
      <c r="A40" s="74" t="inlineStr">
        <is>
          <t>B0037</t>
        </is>
      </c>
      <c r="B40" s="74" t="inlineStr">
        <is>
          <t>Scopus</t>
        </is>
      </c>
      <c r="C40" s="74" t="inlineStr">
        <is>
          <t>Biosecurity practices and exploratory survey for pests and diseases of avocados in the Gharb-Loukkos region, Morocco</t>
        </is>
      </c>
      <c r="D40" s="74" t="n">
        <v>2</v>
      </c>
      <c r="E40" s="74" t="n">
        <v>2</v>
      </c>
      <c r="F40" s="74" t="n">
        <v>1</v>
      </c>
      <c r="G40" s="74" t="n">
        <v>2</v>
      </c>
      <c r="H40" s="74" t="n">
        <v>1</v>
      </c>
      <c r="I40" s="74" t="n">
        <v>2</v>
      </c>
      <c r="J40" s="74" t="n">
        <v>1</v>
      </c>
      <c r="K40" s="74" t="n">
        <v>2</v>
      </c>
      <c r="L40" s="74" t="n">
        <v>2</v>
      </c>
      <c r="M40" s="74" t="n">
        <v>2</v>
      </c>
      <c r="N40" s="74">
        <f>SUM(D40:M40)</f>
        <v/>
      </c>
      <c r="O40" s="74">
        <f>IF(N40&gt;=16,"Alta calidad",IF(N40&gt;=11,"Media calidad","Baja calidad"))</f>
        <v/>
      </c>
      <c r="P40" s="74" t="inlineStr">
        <is>
          <t>Araña roja</t>
        </is>
      </c>
    </row>
    <row r="41" ht="32" customHeight="1" s="34">
      <c r="A41" s="75" t="inlineStr">
        <is>
          <t>B0038</t>
        </is>
      </c>
      <c r="B41" s="75" t="inlineStr">
        <is>
          <t>Web / DOI</t>
        </is>
      </c>
      <c r="C41" s="75" t="inlineStr">
        <is>
          <t>02 Tizon Pseudocercospora norchiensis Dai 2026</t>
        </is>
      </c>
      <c r="D41" s="75" t="n">
        <v>2</v>
      </c>
      <c r="E41" s="75" t="n">
        <v>2</v>
      </c>
      <c r="F41" s="75" t="n">
        <v>1</v>
      </c>
      <c r="G41" s="75" t="n">
        <v>1</v>
      </c>
      <c r="H41" s="75" t="n">
        <v>2</v>
      </c>
      <c r="I41" s="75" t="n">
        <v>2</v>
      </c>
      <c r="J41" s="75" t="n">
        <v>1</v>
      </c>
      <c r="K41" s="75" t="n">
        <v>0</v>
      </c>
      <c r="L41" s="75" t="n">
        <v>2</v>
      </c>
      <c r="M41" s="75" t="n">
        <v>2</v>
      </c>
      <c r="N41" s="75">
        <f>SUM(D41:M41)</f>
        <v/>
      </c>
      <c r="O41" s="75">
        <f>IF(N41&gt;=16,"Alta calidad",IF(N41&gt;=11,"Media calidad","Baja calidad"))</f>
        <v/>
      </c>
      <c r="P41" s="75" t="inlineStr">
        <is>
          <t>Cercospora</t>
        </is>
      </c>
    </row>
    <row r="42" ht="32" customHeight="1" s="34">
      <c r="A42" s="74" t="inlineStr">
        <is>
          <t>B0039</t>
        </is>
      </c>
      <c r="B42" s="74" t="inlineStr">
        <is>
          <t>Web / DOI</t>
        </is>
      </c>
      <c r="C42" s="74" t="inlineStr">
        <is>
          <t>04 Cercospora van Eeden Korsten 2013</t>
        </is>
      </c>
      <c r="D42" s="74" t="n">
        <v>2</v>
      </c>
      <c r="E42" s="74" t="n">
        <v>2</v>
      </c>
      <c r="F42" s="74" t="n">
        <v>1</v>
      </c>
      <c r="G42" s="74" t="n">
        <v>1</v>
      </c>
      <c r="H42" s="74" t="n">
        <v>2</v>
      </c>
      <c r="I42" s="74" t="n">
        <v>2</v>
      </c>
      <c r="J42" s="74" t="n">
        <v>1</v>
      </c>
      <c r="K42" s="74" t="n">
        <v>0</v>
      </c>
      <c r="L42" s="74" t="n">
        <v>2</v>
      </c>
      <c r="M42" s="74" t="n">
        <v>2</v>
      </c>
      <c r="N42" s="74">
        <f>SUM(D42:M42)</f>
        <v/>
      </c>
      <c r="O42" s="74">
        <f>IF(N42&gt;=16,"Alta calidad",IF(N42&gt;=11,"Media calidad","Baja calidad"))</f>
        <v/>
      </c>
      <c r="P42" s="74" t="inlineStr">
        <is>
          <t>Cercospora</t>
        </is>
      </c>
    </row>
    <row r="43" ht="32" customHeight="1" s="34">
      <c r="A43" s="75" t="inlineStr">
        <is>
          <t>B0040</t>
        </is>
      </c>
      <c r="B43" s="75" t="inlineStr">
        <is>
          <t>PDF local</t>
        </is>
      </c>
      <c r="C43" s="75" t="inlineStr">
        <is>
          <t>Validation of black spot [(Pseudocercospora purpurea (Cooke) Deighton] management strategies in avocado crops in northern Tolima (Colombia)</t>
        </is>
      </c>
      <c r="D43" s="75" t="n">
        <v>2</v>
      </c>
      <c r="E43" s="75" t="n">
        <v>2</v>
      </c>
      <c r="F43" s="75" t="n">
        <v>2</v>
      </c>
      <c r="G43" s="75" t="n">
        <v>2</v>
      </c>
      <c r="H43" s="75" t="n">
        <v>2</v>
      </c>
      <c r="I43" s="75" t="n">
        <v>2</v>
      </c>
      <c r="J43" s="75" t="n">
        <v>1</v>
      </c>
      <c r="K43" s="75" t="n">
        <v>0</v>
      </c>
      <c r="L43" s="75" t="n">
        <v>2</v>
      </c>
      <c r="M43" s="75" t="n">
        <v>2</v>
      </c>
      <c r="N43" s="75">
        <f>SUM(D43:M43)</f>
        <v/>
      </c>
      <c r="O43" s="75">
        <f>IF(N43&gt;=16,"Alta calidad",IF(N43&gt;=11,"Media calidad","Baja calidad"))</f>
        <v/>
      </c>
      <c r="P43" s="75" t="inlineStr">
        <is>
          <t>Cercospora</t>
        </is>
      </c>
    </row>
    <row r="44" ht="32" customHeight="1" s="34">
      <c r="A44" s="74" t="inlineStr">
        <is>
          <t>B0041</t>
        </is>
      </c>
      <c r="B44" s="74" t="inlineStr">
        <is>
          <t>IEEE Xplore</t>
        </is>
      </c>
      <c r="C44" s="74" t="inlineStr">
        <is>
          <t>Plant Leaf Disease Detection Classification and Diagnosis Using Computer Vision and Artificial Intelligence A Review</t>
        </is>
      </c>
      <c r="D44" s="74" t="n">
        <v>2</v>
      </c>
      <c r="E44" s="74" t="n">
        <v>2</v>
      </c>
      <c r="F44" s="74" t="n">
        <v>2</v>
      </c>
      <c r="G44" s="74" t="n">
        <v>1</v>
      </c>
      <c r="H44" s="74" t="n">
        <v>2</v>
      </c>
      <c r="I44" s="74" t="n">
        <v>2</v>
      </c>
      <c r="J44" s="74" t="n">
        <v>2</v>
      </c>
      <c r="K44" s="74" t="n">
        <v>0</v>
      </c>
      <c r="L44" s="74" t="n">
        <v>2</v>
      </c>
      <c r="M44" s="74" t="n">
        <v>2</v>
      </c>
      <c r="N44" s="74">
        <f>SUM(D44:M44)</f>
        <v/>
      </c>
      <c r="O44" s="74">
        <f>IF(N44&gt;=16,"Alta calidad",IF(N44&gt;=11,"Media calidad","Baja calidad"))</f>
        <v/>
      </c>
      <c r="P44" s="74" t="inlineStr">
        <is>
          <t>Mosca blanca</t>
        </is>
      </c>
    </row>
    <row r="45" ht="32" customHeight="1" s="34">
      <c r="A45" s="75" t="inlineStr">
        <is>
          <t>B0042</t>
        </is>
      </c>
      <c r="B45" s="75" t="inlineStr">
        <is>
          <t>Web / DOI</t>
        </is>
      </c>
      <c r="C45" s="75" t="inlineStr">
        <is>
          <t>09 Rona Scab Belizaire 2024</t>
        </is>
      </c>
      <c r="D45" s="75" t="n">
        <v>2</v>
      </c>
      <c r="E45" s="75" t="n">
        <v>2</v>
      </c>
      <c r="F45" s="75" t="n">
        <v>1</v>
      </c>
      <c r="G45" s="75" t="n">
        <v>1</v>
      </c>
      <c r="H45" s="75" t="n">
        <v>2</v>
      </c>
      <c r="I45" s="75" t="n">
        <v>2</v>
      </c>
      <c r="J45" s="75" t="n">
        <v>1</v>
      </c>
      <c r="K45" s="75" t="n">
        <v>0</v>
      </c>
      <c r="L45" s="75" t="n">
        <v>2</v>
      </c>
      <c r="M45" s="75" t="n">
        <v>2</v>
      </c>
      <c r="N45" s="75">
        <f>SUM(D45:M45)</f>
        <v/>
      </c>
      <c r="O45" s="75">
        <f>IF(N45&gt;=16,"Alta calidad",IF(N45&gt;=11,"Media calidad","Baja calidad"))</f>
        <v/>
      </c>
      <c r="P45" s="75" t="inlineStr">
        <is>
          <t>Roña</t>
        </is>
      </c>
    </row>
    <row r="46" ht="32" customHeight="1" s="34">
      <c r="A46" s="74" t="inlineStr">
        <is>
          <t>B0043</t>
        </is>
      </c>
      <c r="B46" s="74" t="inlineStr">
        <is>
          <t>Web / DOI</t>
        </is>
      </c>
      <c r="C46" s="74" t="inlineStr">
        <is>
          <t>10 Rona Scab Chellappan 2024 PDF</t>
        </is>
      </c>
      <c r="D46" s="74" t="n">
        <v>2</v>
      </c>
      <c r="E46" s="74" t="n">
        <v>2</v>
      </c>
      <c r="F46" s="74" t="n">
        <v>1</v>
      </c>
      <c r="G46" s="74" t="n">
        <v>1</v>
      </c>
      <c r="H46" s="74" t="n">
        <v>2</v>
      </c>
      <c r="I46" s="74" t="n">
        <v>2</v>
      </c>
      <c r="J46" s="74" t="n">
        <v>1</v>
      </c>
      <c r="K46" s="74" t="n">
        <v>2</v>
      </c>
      <c r="L46" s="74" t="n">
        <v>2</v>
      </c>
      <c r="M46" s="74" t="n">
        <v>2</v>
      </c>
      <c r="N46" s="74">
        <f>SUM(D46:M46)</f>
        <v/>
      </c>
      <c r="O46" s="74">
        <f>IF(N46&gt;=16,"Alta calidad",IF(N46&gt;=11,"Media calidad","Baja calidad"))</f>
        <v/>
      </c>
      <c r="P46" s="74" t="inlineStr">
        <is>
          <t>Roña</t>
        </is>
      </c>
    </row>
    <row r="47" ht="32" customHeight="1" s="34">
      <c r="A47" s="75" t="inlineStr">
        <is>
          <t>B0044</t>
        </is>
      </c>
      <c r="B47" s="75" t="inlineStr">
        <is>
          <t>BibTeX</t>
        </is>
      </c>
      <c r="C47" s="75" t="inlineStr">
        <is>
          <t>Comparative secretome analysis unveils species-specific virulence factors in Elsinoe perseae, the causative agent of the scab disease of avocado (Persea americana)</t>
        </is>
      </c>
      <c r="D47" s="75" t="n">
        <v>2</v>
      </c>
      <c r="E47" s="75" t="n">
        <v>2</v>
      </c>
      <c r="F47" s="75" t="n">
        <v>1</v>
      </c>
      <c r="G47" s="75" t="n">
        <v>2</v>
      </c>
      <c r="H47" s="75" t="n">
        <v>1</v>
      </c>
      <c r="I47" s="75" t="n">
        <v>2</v>
      </c>
      <c r="J47" s="75" t="n">
        <v>1</v>
      </c>
      <c r="K47" s="75" t="n">
        <v>2</v>
      </c>
      <c r="L47" s="75" t="n">
        <v>2</v>
      </c>
      <c r="M47" s="75" t="n">
        <v>2</v>
      </c>
      <c r="N47" s="75">
        <f>SUM(D47:M47)</f>
        <v/>
      </c>
      <c r="O47" s="75">
        <f>IF(N47&gt;=16,"Alta calidad",IF(N47&gt;=11,"Media calidad","Baja calidad"))</f>
        <v/>
      </c>
      <c r="P47" s="75" t="inlineStr">
        <is>
          <t>Roña</t>
        </is>
      </c>
    </row>
    <row r="48" ht="32" customHeight="1" s="34">
      <c r="A48" s="74" t="inlineStr">
        <is>
          <t>B0045</t>
        </is>
      </c>
      <c r="B48" s="74" t="inlineStr">
        <is>
          <t>Scopus</t>
        </is>
      </c>
      <c r="C48" s="74" t="inlineStr">
        <is>
          <t>Real-time hass avocado ripeness detection using close-range UAV imagery and YOLO-based deep learning</t>
        </is>
      </c>
      <c r="D48" s="74" t="n">
        <v>2</v>
      </c>
      <c r="E48" s="74" t="n">
        <v>1</v>
      </c>
      <c r="F48" s="74" t="n">
        <v>1</v>
      </c>
      <c r="G48" s="74" t="n">
        <v>2</v>
      </c>
      <c r="H48" s="74" t="n">
        <v>2</v>
      </c>
      <c r="I48" s="74" t="n">
        <v>2</v>
      </c>
      <c r="J48" s="74" t="n">
        <v>2</v>
      </c>
      <c r="K48" s="74" t="n">
        <v>0</v>
      </c>
      <c r="L48" s="74" t="n">
        <v>2</v>
      </c>
      <c r="M48" s="74" t="n">
        <v>2</v>
      </c>
      <c r="N48" s="74">
        <f>SUM(D48:M48)</f>
        <v/>
      </c>
      <c r="O48" s="74">
        <f>IF(N48&gt;=16,"Alta calidad",IF(N48&gt;=11,"Media calidad","Baja calidad"))</f>
        <v/>
      </c>
      <c r="P48" s="74" t="inlineStr">
        <is>
          <t>Sin clasificar</t>
        </is>
      </c>
    </row>
    <row r="49" ht="32" customHeight="1" s="34">
      <c r="A49" s="75" t="inlineStr">
        <is>
          <t>B0046</t>
        </is>
      </c>
      <c r="B49" s="75" t="inlineStr">
        <is>
          <t>Web / DOI</t>
        </is>
      </c>
      <c r="C49" s="75" t="inlineStr">
        <is>
          <t>03 Tizon Neopestalotiopsis Darapanit 2021</t>
        </is>
      </c>
      <c r="D49" s="75" t="n">
        <v>2</v>
      </c>
      <c r="E49" s="75" t="n">
        <v>2</v>
      </c>
      <c r="F49" s="75" t="n">
        <v>2</v>
      </c>
      <c r="G49" s="75" t="n">
        <v>1</v>
      </c>
      <c r="H49" s="75" t="n">
        <v>2</v>
      </c>
      <c r="I49" s="75" t="n">
        <v>2</v>
      </c>
      <c r="J49" s="75" t="n">
        <v>1</v>
      </c>
      <c r="K49" s="75" t="n">
        <v>0</v>
      </c>
      <c r="L49" s="75" t="n">
        <v>2</v>
      </c>
      <c r="M49" s="75" t="n">
        <v>2</v>
      </c>
      <c r="N49" s="75">
        <f>SUM(D49:M49)</f>
        <v/>
      </c>
      <c r="O49" s="75">
        <f>IF(N49&gt;=16,"Alta calidad",IF(N49&gt;=11,"Media calidad","Baja calidad"))</f>
        <v/>
      </c>
      <c r="P49" s="75" t="inlineStr">
        <is>
          <t>Tizón de la hoja</t>
        </is>
      </c>
    </row>
    <row r="50" ht="32" customHeight="1" s="34">
      <c r="A50" s="74" t="inlineStr">
        <is>
          <t>B0047</t>
        </is>
      </c>
      <c r="B50" s="74" t="inlineStr">
        <is>
          <t>BibTeX</t>
        </is>
      </c>
      <c r="C50" s="74" t="inlineStr">
        <is>
          <t>Identification, pathogenicity and effects of plant extracts on Neopestalotiopsis and Pseudopestalotiopsis causing fruit diseases</t>
        </is>
      </c>
      <c r="D50" s="74" t="n">
        <v>2</v>
      </c>
      <c r="E50" s="74" t="n">
        <v>2</v>
      </c>
      <c r="F50" s="74" t="n">
        <v>1</v>
      </c>
      <c r="G50" s="74" t="n">
        <v>1</v>
      </c>
      <c r="H50" s="74" t="n">
        <v>1</v>
      </c>
      <c r="I50" s="74" t="n">
        <v>2</v>
      </c>
      <c r="J50" s="74" t="n">
        <v>1</v>
      </c>
      <c r="K50" s="74" t="n">
        <v>2</v>
      </c>
      <c r="L50" s="74" t="n">
        <v>2</v>
      </c>
      <c r="M50" s="74" t="n">
        <v>2</v>
      </c>
      <c r="N50" s="74">
        <f>SUM(D50:M50)</f>
        <v/>
      </c>
      <c r="O50" s="74">
        <f>IF(N50&gt;=16,"Alta calidad",IF(N50&gt;=11,"Media calidad","Baja calidad"))</f>
        <v/>
      </c>
      <c r="P50" s="74" t="inlineStr">
        <is>
          <t>Tizón de la hoja</t>
        </is>
      </c>
    </row>
    <row r="51" ht="32" customHeight="1" s="34">
      <c r="A51" s="75" t="inlineStr">
        <is>
          <t>B0048</t>
        </is>
      </c>
      <c r="B51" s="75" t="inlineStr">
        <is>
          <t>PDF local</t>
        </is>
      </c>
      <c r="C51" s="75" t="inlineStr">
        <is>
          <t>Colletotrichum fructicola Causes Necrotic Leaf Lesions in Avocado (Persea americana) in Amazonas, Peru: First Record and In Vitro Control Using Piper Essential Oils</t>
        </is>
      </c>
      <c r="D51" s="75" t="n">
        <v>2</v>
      </c>
      <c r="E51" s="75" t="n">
        <v>2</v>
      </c>
      <c r="F51" s="75" t="n">
        <v>2</v>
      </c>
      <c r="G51" s="75" t="n">
        <v>2</v>
      </c>
      <c r="H51" s="75" t="n">
        <v>2</v>
      </c>
      <c r="I51" s="75" t="n">
        <v>2</v>
      </c>
      <c r="J51" s="75" t="n">
        <v>1</v>
      </c>
      <c r="K51" s="75" t="n">
        <v>2</v>
      </c>
      <c r="L51" s="75" t="n">
        <v>2</v>
      </c>
      <c r="M51" s="75" t="n">
        <v>2</v>
      </c>
      <c r="N51" s="75">
        <f>SUM(D51:M51)</f>
        <v/>
      </c>
      <c r="O51" s="75">
        <f>IF(N51&gt;=16,"Alta calidad",IF(N51&gt;=11,"Media calidad","Baja calidad"))</f>
        <v/>
      </c>
      <c r="P51" s="75" t="inlineStr">
        <is>
          <t>Tizón de la hoja</t>
        </is>
      </c>
    </row>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P51"/>
  <mergeCells count="2">
    <mergeCell ref="A1:P1"/>
    <mergeCell ref="A2:P2"/>
  </mergeCells>
  <conditionalFormatting sqref="N4:N201">
    <cfRule type="cellIs" priority="1" operator="greaterThanOrEqual" dxfId="2">
      <formula>16</formula>
    </cfRule>
    <cfRule type="cellIs" priority="2" operator="between" dxfId="1">
      <formula>10</formula>
      <formula>15</formula>
    </cfRule>
    <cfRule type="cellIs" priority="3" operator="lessThan" dxfId="0">
      <formula>10</formula>
    </cfRule>
  </conditionalFormatting>
  <dataValidations count="1">
    <dataValidation sqref="D4:M303" showDropDown="0" showInputMessage="0" showErrorMessage="0" allowBlank="1" type="list">
      <formula1>"0,1,2"</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38"/>
  <sheetViews>
    <sheetView showGridLines="0" topLeftCell="A1" workbookViewId="0">
      <selection activeCell="A1" sqref="A1"/>
    </sheetView>
  </sheetViews>
  <sheetFormatPr baseColWidth="10" defaultColWidth="8.88671875" defaultRowHeight="14.4"/>
  <cols>
    <col width="10" customWidth="1" style="34" min="1" max="1"/>
    <col width="18" customWidth="1" style="34" min="2" max="2"/>
    <col width="50" customWidth="1" style="34" min="3" max="3"/>
    <col width="10" customWidth="1" style="34" min="4" max="4"/>
    <col width="34" customWidth="1" style="34" min="5" max="6"/>
    <col width="24" customWidth="1" style="34" min="6" max="6"/>
    <col width="22" customWidth="1" style="34" min="7" max="7"/>
    <col width="40" customWidth="1" style="34" min="8" max="12"/>
    <col width="42" customWidth="1" style="34" min="9" max="9"/>
    <col width="18" customWidth="1" style="34" min="10" max="10"/>
    <col width="18" customWidth="1" style="34" min="11" max="11"/>
    <col width="18" customWidth="1" style="34" min="12" max="12"/>
    <col width="26" customWidth="1" style="34" min="13" max="13"/>
    <col width="18" customWidth="1" style="34" min="14" max="14"/>
    <col width="18" customWidth="1" style="34" min="15" max="15"/>
    <col width="18" customWidth="1" style="34" min="16" max="16"/>
    <col width="16" customWidth="1" style="34" min="17" max="17"/>
    <col width="40" customWidth="1" style="34" min="18" max="18"/>
  </cols>
  <sheetData>
    <row r="1" ht="24" customHeight="1" s="34">
      <c r="A1" s="71" t="inlineStr">
        <is>
          <t>Articulos_finales</t>
        </is>
      </c>
    </row>
    <row r="2" ht="24" customHeight="1" s="34">
      <c r="A2" s="72" t="inlineStr">
        <is>
          <t>Selección final razonada: analiza el aporte de cada artículo y decide Incluir o Reserva, con su justificación.</t>
        </is>
      </c>
    </row>
    <row r="3" ht="24" customHeight="1" s="34">
      <c r="A3" s="73" t="inlineStr">
        <is>
          <t>ID</t>
        </is>
      </c>
      <c r="B3" s="73" t="inlineStr">
        <is>
          <t>Base de datos</t>
        </is>
      </c>
      <c r="C3" s="73" t="inlineStr">
        <is>
          <t>Título completo</t>
        </is>
      </c>
      <c r="D3" s="73" t="inlineStr">
        <is>
          <t>Año</t>
        </is>
      </c>
      <c r="E3" s="73" t="inlineStr">
        <is>
          <t>Autores</t>
        </is>
      </c>
      <c r="F3" s="73" t="inlineStr">
        <is>
          <t>DOI</t>
        </is>
      </c>
      <c r="G3" s="73" t="inlineStr">
        <is>
          <t>Tipo de estudio</t>
        </is>
      </c>
      <c r="H3" s="73" t="inlineStr">
        <is>
          <t>Aporte principal</t>
        </is>
      </c>
      <c r="I3" s="73" t="inlineStr">
        <is>
          <t>Relación con Objetivo 1</t>
        </is>
      </c>
      <c r="J3" s="73" t="inlineStr">
        <is>
          <t>Evidencia de IA</t>
        </is>
      </c>
      <c r="K3" s="73" t="inlineStr">
        <is>
          <t>Evidencia de HCI/UX</t>
        </is>
      </c>
      <c r="L3" s="73" t="inlineStr">
        <is>
          <t>Evidencia de mobile app</t>
        </is>
      </c>
      <c r="M3" s="73" t="inlineStr">
        <is>
          <t>Evidencia de design/framework/methodology/approach</t>
        </is>
      </c>
      <c r="N3" s="73" t="inlineStr">
        <is>
          <t>Evidencia de agricultura</t>
        </is>
      </c>
      <c r="O3" s="73" t="inlineStr">
        <is>
          <t>Nivel de alineación con el objetivo</t>
        </is>
      </c>
      <c r="P3" s="73" t="inlineStr">
        <is>
          <t>Nivel de calidad</t>
        </is>
      </c>
      <c r="Q3" s="73" t="inlineStr">
        <is>
          <t>Decisión final (Incluir / Reserva)</t>
        </is>
      </c>
      <c r="R3" s="73" t="inlineStr">
        <is>
          <t>Justificación final</t>
        </is>
      </c>
    </row>
    <row r="4" ht="32" customHeight="1" s="34">
      <c r="A4" s="74" t="inlineStr">
        <is>
          <t>B0001</t>
        </is>
      </c>
      <c r="B4" s="74" t="inlineStr">
        <is>
          <t>Web / DOI</t>
        </is>
      </c>
      <c r="C4" s="74" t="inlineStr">
        <is>
          <t>07 Agallas Trioza anceps Torres Gurrola 2011 UNAM</t>
        </is>
      </c>
      <c r="D4" s="74" t="n"/>
      <c r="E4" s="74" t="inlineStr"/>
      <c r="F4" s="74" t="inlineStr"/>
      <c r="G4" s="74" t="inlineStr">
        <is>
          <t>Enlace / recurso web</t>
        </is>
      </c>
      <c r="H4" s="74" t="inlineStr">
        <is>
          <t>Aporta a Agallas foliares.</t>
        </is>
      </c>
      <c r="I4" s="74" t="inlineStr">
        <is>
          <t>Relacionado con el objetivo por enfermedad/plaga foliar, síntomas visuales o método IA/UAV aplicable.</t>
        </is>
      </c>
      <c r="J4" s="74" t="inlineStr">
        <is>
          <t>No</t>
        </is>
      </c>
      <c r="K4" s="74" t="inlineStr">
        <is>
          <t>Parcial</t>
        </is>
      </c>
      <c r="L4" s="74" t="inlineStr">
        <is>
          <t>No</t>
        </is>
      </c>
      <c r="M4" s="74" t="inlineStr">
        <is>
          <t>Sí</t>
        </is>
      </c>
      <c r="N4" s="74" t="inlineStr">
        <is>
          <t>Sí</t>
        </is>
      </c>
      <c r="O4" s="74" t="inlineStr">
        <is>
          <t>Media</t>
        </is>
      </c>
      <c r="P4" s="74" t="inlineStr">
        <is>
          <t>Alta calidad</t>
        </is>
      </c>
      <c r="Q4" s="74" t="inlineStr">
        <is>
          <t>Reserva</t>
        </is>
      </c>
      <c r="R4" s="74" t="inlineStr">
        <is>
          <t>Mantener como apoyo o diagnóstico diferencial.</t>
        </is>
      </c>
    </row>
    <row r="5" ht="32" customHeight="1" s="34">
      <c r="A5" s="75" t="inlineStr">
        <is>
          <t>B0002</t>
        </is>
      </c>
      <c r="B5" s="75" t="inlineStr">
        <is>
          <t>Web / DOI</t>
        </is>
      </c>
      <c r="C5" s="75" t="inlineStr">
        <is>
          <t>08 Agallas Trioza anceps Rincon Hernandez 2008</t>
        </is>
      </c>
      <c r="D5" s="75" t="n"/>
      <c r="E5" s="75" t="inlineStr"/>
      <c r="F5" s="75" t="inlineStr"/>
      <c r="G5" s="75" t="inlineStr">
        <is>
          <t>Enlace / recurso web</t>
        </is>
      </c>
      <c r="H5" s="75" t="inlineStr">
        <is>
          <t>Aporta a Agallas foliares.</t>
        </is>
      </c>
      <c r="I5" s="75" t="inlineStr">
        <is>
          <t>Relacionado con el objetivo por enfermedad/plaga foliar, síntomas visuales o método IA/UAV aplicable.</t>
        </is>
      </c>
      <c r="J5" s="75" t="inlineStr">
        <is>
          <t>No</t>
        </is>
      </c>
      <c r="K5" s="75" t="inlineStr">
        <is>
          <t>Parcial</t>
        </is>
      </c>
      <c r="L5" s="75" t="inlineStr">
        <is>
          <t>No</t>
        </is>
      </c>
      <c r="M5" s="75" t="inlineStr">
        <is>
          <t>Sí</t>
        </is>
      </c>
      <c r="N5" s="75" t="inlineStr">
        <is>
          <t>Sí</t>
        </is>
      </c>
      <c r="O5" s="75" t="inlineStr">
        <is>
          <t>Media</t>
        </is>
      </c>
      <c r="P5" s="75" t="inlineStr">
        <is>
          <t>Alta calidad</t>
        </is>
      </c>
      <c r="Q5" s="75" t="inlineStr">
        <is>
          <t>Reserva</t>
        </is>
      </c>
      <c r="R5" s="75" t="inlineStr">
        <is>
          <t>Mantener como apoyo o diagnóstico diferencial.</t>
        </is>
      </c>
    </row>
    <row r="6" ht="32" customHeight="1" s="34">
      <c r="A6" s="74" t="inlineStr">
        <is>
          <t>B0005</t>
        </is>
      </c>
      <c r="B6" s="74" t="inlineStr">
        <is>
          <t>PDF local</t>
        </is>
      </c>
      <c r="C6" s="74" t="inlineStr">
        <is>
          <t>Silica-based nanomaterials for the control of Trioza anceps: Laboratory bioassays and preliminary field observations</t>
        </is>
      </c>
      <c r="D6" s="74" t="n">
        <v>2026</v>
      </c>
      <c r="E6" s="74" t="inlineStr"/>
      <c r="F6" s="74" t="inlineStr">
        <is>
          <t>10.1007/s10971-026-07179-z</t>
        </is>
      </c>
      <c r="G6" s="74" t="inlineStr">
        <is>
          <t>Artículo PDF</t>
        </is>
      </c>
      <c r="H6" s="74" t="inlineStr">
        <is>
          <t>Aporta a Agallas foliares.</t>
        </is>
      </c>
      <c r="I6" s="74" t="inlineStr">
        <is>
          <t>Relacionado con el objetivo por enfermedad/plaga foliar, síntomas visuales o método IA/UAV aplicable.</t>
        </is>
      </c>
      <c r="J6" s="74" t="inlineStr">
        <is>
          <t>No</t>
        </is>
      </c>
      <c r="K6" s="74" t="inlineStr">
        <is>
          <t>Parcial</t>
        </is>
      </c>
      <c r="L6" s="74" t="inlineStr">
        <is>
          <t>No</t>
        </is>
      </c>
      <c r="M6" s="74" t="inlineStr">
        <is>
          <t>Sí</t>
        </is>
      </c>
      <c r="N6" s="74" t="inlineStr">
        <is>
          <t>Sí</t>
        </is>
      </c>
      <c r="O6" s="74" t="inlineStr">
        <is>
          <t>Alta</t>
        </is>
      </c>
      <c r="P6" s="74" t="inlineStr">
        <is>
          <t>Alta calidad</t>
        </is>
      </c>
      <c r="Q6" s="74" t="inlineStr">
        <is>
          <t>Incluir</t>
        </is>
      </c>
      <c r="R6" s="74" t="inlineStr">
        <is>
          <t>Usar en marco teórico principal.</t>
        </is>
      </c>
    </row>
    <row r="7" ht="32" customHeight="1" s="34">
      <c r="A7" s="75" t="inlineStr">
        <is>
          <t>B0006</t>
        </is>
      </c>
      <c r="B7" s="75" t="inlineStr">
        <is>
          <t>IEEE Xplore</t>
        </is>
      </c>
      <c r="C7" s="75" t="inlineStr">
        <is>
          <t>Unified Approach for Avocado Leaf Disease Classification CNN-SVM Fusion</t>
        </is>
      </c>
      <c r="D7" s="75" t="n"/>
      <c r="E7" s="75" t="inlineStr"/>
      <c r="F7" s="75" t="inlineStr"/>
      <c r="G7" s="75" t="inlineStr">
        <is>
          <t>Enlace / recurso web</t>
        </is>
      </c>
      <c r="H7" s="75" t="inlineStr">
        <is>
          <t>Aporta a Antracnosis.</t>
        </is>
      </c>
      <c r="I7" s="75" t="inlineStr">
        <is>
          <t>Relacionado con el objetivo por enfermedad/plaga foliar, síntomas visuales o método IA/UAV aplicable.</t>
        </is>
      </c>
      <c r="J7" s="75" t="inlineStr">
        <is>
          <t>Sí</t>
        </is>
      </c>
      <c r="K7" s="75" t="inlineStr">
        <is>
          <t>Parcial</t>
        </is>
      </c>
      <c r="L7" s="75" t="inlineStr">
        <is>
          <t>No</t>
        </is>
      </c>
      <c r="M7" s="75" t="inlineStr">
        <is>
          <t>Sí</t>
        </is>
      </c>
      <c r="N7" s="75" t="inlineStr">
        <is>
          <t>Sí</t>
        </is>
      </c>
      <c r="O7" s="75" t="inlineStr">
        <is>
          <t>Alta</t>
        </is>
      </c>
      <c r="P7" s="75" t="inlineStr">
        <is>
          <t>Alta calidad</t>
        </is>
      </c>
      <c r="Q7" s="75" t="inlineStr">
        <is>
          <t>Incluir</t>
        </is>
      </c>
      <c r="R7" s="75" t="inlineStr">
        <is>
          <t>Usar en marco teórico principal.</t>
        </is>
      </c>
    </row>
    <row r="8" ht="32" customHeight="1" s="34">
      <c r="A8" s="74" t="inlineStr">
        <is>
          <t>B0008</t>
        </is>
      </c>
      <c r="B8" s="74" t="inlineStr">
        <is>
          <t>Scopus</t>
        </is>
      </c>
      <c r="C8" s="74" t="inlineStr">
        <is>
          <t>Identification of pathogen species of avocado leaf anthracnose in Chongzuo, Guangxi; [广西崇左油梨叶部炭疽病病原菌分离与鉴定]</t>
        </is>
      </c>
      <c r="D8" s="74" t="n">
        <v>2023</v>
      </c>
      <c r="E8" s="74" t="inlineStr">
        <is>
          <t>Fan Z.; Lu Y.; Wang W.; Lin C.</t>
        </is>
      </c>
      <c r="F8" s="74" t="inlineStr">
        <is>
          <t>10.13926/j.cnki.apps.000812</t>
        </is>
      </c>
      <c r="G8" s="74" t="inlineStr">
        <is>
          <t>Article</t>
        </is>
      </c>
      <c r="H8" s="74" t="inlineStr">
        <is>
          <t>Aporta a Antracnosis.</t>
        </is>
      </c>
      <c r="I8" s="74" t="inlineStr">
        <is>
          <t>Relacionado con el objetivo por enfermedad/plaga foliar, síntomas visuales o método IA/UAV aplicable.</t>
        </is>
      </c>
      <c r="J8" s="74" t="inlineStr">
        <is>
          <t>No</t>
        </is>
      </c>
      <c r="K8" s="74" t="inlineStr">
        <is>
          <t>Parcial</t>
        </is>
      </c>
      <c r="L8" s="74" t="inlineStr">
        <is>
          <t>No</t>
        </is>
      </c>
      <c r="M8" s="74" t="inlineStr">
        <is>
          <t>Sí</t>
        </is>
      </c>
      <c r="N8" s="74" t="inlineStr">
        <is>
          <t>Sí</t>
        </is>
      </c>
      <c r="O8" s="74" t="inlineStr">
        <is>
          <t>Alta</t>
        </is>
      </c>
      <c r="P8" s="74" t="inlineStr">
        <is>
          <t>Alta calidad</t>
        </is>
      </c>
      <c r="Q8" s="74" t="inlineStr">
        <is>
          <t>Incluir</t>
        </is>
      </c>
      <c r="R8" s="74" t="inlineStr">
        <is>
          <t>Usar en marco teórico principal.</t>
        </is>
      </c>
    </row>
    <row r="9" ht="32" customHeight="1" s="34">
      <c r="A9" s="75" t="inlineStr">
        <is>
          <t>B0009</t>
        </is>
      </c>
      <c r="B9" s="75" t="inlineStr">
        <is>
          <t>IEEE Xplore</t>
        </is>
      </c>
      <c r="C9" s="75" t="inlineStr">
        <is>
          <t>Unified Approach for Avocado Leaf Disease Classification: CNN-SVM Fusion</t>
        </is>
      </c>
      <c r="D9" s="75" t="n">
        <v>2024</v>
      </c>
      <c r="E9" s="75" t="inlineStr">
        <is>
          <t>Mir, Banerjee, Chauhan, Pokhariya y Kumar, 2024</t>
        </is>
      </c>
      <c r="F9" s="75" t="inlineStr">
        <is>
          <t>10.1109/I2CT61223.2024.10544074</t>
        </is>
      </c>
      <c r="G9" s="75" t="inlineStr">
        <is>
          <t>Ficha bibliográfica</t>
        </is>
      </c>
      <c r="H9" s="75" t="inlineStr">
        <is>
          <t>Aporta a Antracnosis.</t>
        </is>
      </c>
      <c r="I9" s="75" t="inlineStr">
        <is>
          <t>Relacionado con el objetivo por enfermedad/plaga foliar, síntomas visuales o método IA/UAV aplicable.</t>
        </is>
      </c>
      <c r="J9" s="75" t="inlineStr">
        <is>
          <t>Sí</t>
        </is>
      </c>
      <c r="K9" s="75" t="inlineStr">
        <is>
          <t>Parcial</t>
        </is>
      </c>
      <c r="L9" s="75" t="inlineStr">
        <is>
          <t>No</t>
        </is>
      </c>
      <c r="M9" s="75" t="inlineStr">
        <is>
          <t>Sí</t>
        </is>
      </c>
      <c r="N9" s="75" t="inlineStr">
        <is>
          <t>Sí</t>
        </is>
      </c>
      <c r="O9" s="75" t="inlineStr">
        <is>
          <t>Alta</t>
        </is>
      </c>
      <c r="P9" s="75" t="inlineStr">
        <is>
          <t>Alta calidad</t>
        </is>
      </c>
      <c r="Q9" s="75" t="inlineStr">
        <is>
          <t>Incluir</t>
        </is>
      </c>
      <c r="R9" s="75" t="inlineStr">
        <is>
          <t>Usar en marco teórico principal.</t>
        </is>
      </c>
    </row>
    <row r="10" ht="32" customHeight="1" s="34">
      <c r="A10" s="74" t="inlineStr">
        <is>
          <t>B0010</t>
        </is>
      </c>
      <c r="B10" s="74" t="inlineStr">
        <is>
          <t>Scopus</t>
        </is>
      </c>
      <c r="C10" s="74" t="inlineStr">
        <is>
          <t>Real-Time Avocado Plant Health and Disease Detection Using UAV Imagery with Faster R-CNN Algorithm</t>
        </is>
      </c>
      <c r="D10" s="74" t="n">
        <v>2025</v>
      </c>
      <c r="E10" s="74" t="inlineStr">
        <is>
          <t>Karthik R.P.; Rithika K.V.; Ramana M.; Rakshith S.</t>
        </is>
      </c>
      <c r="F10" s="74" t="inlineStr">
        <is>
          <t>10.1109/ICOECA66273.2025.00181</t>
        </is>
      </c>
      <c r="G10" s="74" t="inlineStr">
        <is>
          <t>Conference paper</t>
        </is>
      </c>
      <c r="H10" s="74" t="inlineStr">
        <is>
          <t>Aporta a Antracnosis.</t>
        </is>
      </c>
      <c r="I10" s="74" t="inlineStr">
        <is>
          <t>Relacionado con el objetivo por enfermedad/plaga foliar, síntomas visuales o método IA/UAV aplicable.</t>
        </is>
      </c>
      <c r="J10" s="74" t="inlineStr">
        <is>
          <t>Sí</t>
        </is>
      </c>
      <c r="K10" s="74" t="inlineStr">
        <is>
          <t>Parcial</t>
        </is>
      </c>
      <c r="L10" s="74" t="inlineStr">
        <is>
          <t>No</t>
        </is>
      </c>
      <c r="M10" s="74" t="inlineStr">
        <is>
          <t>Sí</t>
        </is>
      </c>
      <c r="N10" s="74" t="inlineStr">
        <is>
          <t>Sí</t>
        </is>
      </c>
      <c r="O10" s="74" t="inlineStr">
        <is>
          <t>Alta</t>
        </is>
      </c>
      <c r="P10" s="74" t="inlineStr">
        <is>
          <t>Alta calidad</t>
        </is>
      </c>
      <c r="Q10" s="74" t="inlineStr">
        <is>
          <t>Incluir</t>
        </is>
      </c>
      <c r="R10" s="74" t="inlineStr">
        <is>
          <t>Usar en marco teórico principal.</t>
        </is>
      </c>
    </row>
    <row r="11" ht="32" customHeight="1" s="34">
      <c r="A11" s="75" t="inlineStr">
        <is>
          <t>B0011</t>
        </is>
      </c>
      <c r="B11" s="75" t="inlineStr">
        <is>
          <t>Springer</t>
        </is>
      </c>
      <c r="C11" s="75" t="inlineStr">
        <is>
          <t>Burkholderia contaminans siderophore‑rich supernatants suppress post‑harvest anthracnose in avocado fruits Coyolxauhqui Barrera‑Galicia1 · Sergio A</t>
        </is>
      </c>
      <c r="D11" s="75" t="n">
        <v>2026</v>
      </c>
      <c r="E11" s="75" t="inlineStr"/>
      <c r="F11" s="75" t="inlineStr">
        <is>
          <t>10.1007/s00253-026-13715-2</t>
        </is>
      </c>
      <c r="G11" s="75" t="inlineStr">
        <is>
          <t>Artículo PDF</t>
        </is>
      </c>
      <c r="H11" s="75" t="inlineStr">
        <is>
          <t>Aporta a Antracnosis.</t>
        </is>
      </c>
      <c r="I11" s="75" t="inlineStr">
        <is>
          <t>Relacionado con el objetivo por enfermedad/plaga foliar, síntomas visuales o método IA/UAV aplicable.</t>
        </is>
      </c>
      <c r="J11" s="75" t="inlineStr">
        <is>
          <t>No</t>
        </is>
      </c>
      <c r="K11" s="75" t="inlineStr">
        <is>
          <t>Parcial</t>
        </is>
      </c>
      <c r="L11" s="75" t="inlineStr">
        <is>
          <t>No</t>
        </is>
      </c>
      <c r="M11" s="75" t="inlineStr">
        <is>
          <t>Sí</t>
        </is>
      </c>
      <c r="N11" s="75" t="inlineStr">
        <is>
          <t>Sí</t>
        </is>
      </c>
      <c r="O11" s="75" t="inlineStr">
        <is>
          <t>Alta</t>
        </is>
      </c>
      <c r="P11" s="75" t="inlineStr">
        <is>
          <t>Alta calidad</t>
        </is>
      </c>
      <c r="Q11" s="75" t="inlineStr">
        <is>
          <t>Incluir</t>
        </is>
      </c>
      <c r="R11" s="75" t="inlineStr">
        <is>
          <t>Usar en marco teórico principal.</t>
        </is>
      </c>
    </row>
    <row r="12" ht="32" customHeight="1" s="34">
      <c r="A12" s="74" t="inlineStr">
        <is>
          <t>B0012</t>
        </is>
      </c>
      <c r="B12" s="74" t="inlineStr">
        <is>
          <t>Scopus</t>
        </is>
      </c>
      <c r="C12" s="74" t="inlineStr">
        <is>
          <t>Identification and Pathogenicity of Botryosphaeriaceae, Colletotrichum, and Phytophthora Species Associated with Avocado Diseases in Italy</t>
        </is>
      </c>
      <c r="D12" s="74" t="n">
        <v>2026</v>
      </c>
      <c r="E12" s="74" t="inlineStr">
        <is>
          <t>Linaldeddu B.T.; Bregant C.; Muscas J.; Maddau L.; Vecchio L.; Polizzi G.; Aiello D.</t>
        </is>
      </c>
      <c r="F12" s="74" t="inlineStr">
        <is>
          <t>10.3390/agriculture16101035</t>
        </is>
      </c>
      <c r="G12" s="74" t="inlineStr">
        <is>
          <t>Article</t>
        </is>
      </c>
      <c r="H12" s="74" t="inlineStr">
        <is>
          <t>Aporta a Antracnosis.</t>
        </is>
      </c>
      <c r="I12" s="74" t="inlineStr">
        <is>
          <t>Relacionado con el objetivo por enfermedad/plaga foliar, síntomas visuales o método IA/UAV aplicable.</t>
        </is>
      </c>
      <c r="J12" s="74" t="inlineStr">
        <is>
          <t>No</t>
        </is>
      </c>
      <c r="K12" s="74" t="inlineStr">
        <is>
          <t>Parcial</t>
        </is>
      </c>
      <c r="L12" s="74" t="inlineStr">
        <is>
          <t>No</t>
        </is>
      </c>
      <c r="M12" s="74" t="inlineStr">
        <is>
          <t>Sí</t>
        </is>
      </c>
      <c r="N12" s="74" t="inlineStr">
        <is>
          <t>Sí</t>
        </is>
      </c>
      <c r="O12" s="74" t="inlineStr">
        <is>
          <t>Alta</t>
        </is>
      </c>
      <c r="P12" s="74" t="inlineStr">
        <is>
          <t>Alta calidad</t>
        </is>
      </c>
      <c r="Q12" s="74" t="inlineStr">
        <is>
          <t>Incluir</t>
        </is>
      </c>
      <c r="R12" s="74" t="inlineStr">
        <is>
          <t>Usar en marco teórico principal.</t>
        </is>
      </c>
    </row>
    <row r="13" ht="32" customHeight="1" s="34">
      <c r="A13" s="75" t="inlineStr">
        <is>
          <t>B0013</t>
        </is>
      </c>
      <c r="B13" s="75" t="inlineStr">
        <is>
          <t>PDF local</t>
        </is>
      </c>
      <c r="C13" s="75" t="inlineStr">
        <is>
          <t>s41598-026-50025-z</t>
        </is>
      </c>
      <c r="D13" s="75" t="n">
        <v>2026</v>
      </c>
      <c r="E13" s="75" t="inlineStr"/>
      <c r="F13" s="75" t="inlineStr">
        <is>
          <t>10.1038/s41598-026-50025-z</t>
        </is>
      </c>
      <c r="G13" s="75" t="inlineStr">
        <is>
          <t>Artículo PDF</t>
        </is>
      </c>
      <c r="H13" s="75" t="inlineStr">
        <is>
          <t>Aporta a Antracnosis.</t>
        </is>
      </c>
      <c r="I13" s="75" t="inlineStr">
        <is>
          <t>Relacionado con el objetivo por enfermedad/plaga foliar, síntomas visuales o método IA/UAV aplicable.</t>
        </is>
      </c>
      <c r="J13" s="75" t="inlineStr">
        <is>
          <t>Sí</t>
        </is>
      </c>
      <c r="K13" s="75" t="inlineStr">
        <is>
          <t>Parcial</t>
        </is>
      </c>
      <c r="L13" s="75" t="inlineStr">
        <is>
          <t>No</t>
        </is>
      </c>
      <c r="M13" s="75" t="inlineStr">
        <is>
          <t>Sí</t>
        </is>
      </c>
      <c r="N13" s="75" t="inlineStr">
        <is>
          <t>Sí</t>
        </is>
      </c>
      <c r="O13" s="75" t="inlineStr">
        <is>
          <t>Alta</t>
        </is>
      </c>
      <c r="P13" s="75" t="inlineStr">
        <is>
          <t>Alta calidad</t>
        </is>
      </c>
      <c r="Q13" s="75" t="inlineStr">
        <is>
          <t>Incluir</t>
        </is>
      </c>
      <c r="R13" s="75" t="inlineStr">
        <is>
          <t>Usar en marco teórico principal.</t>
        </is>
      </c>
    </row>
    <row r="14" ht="32" customHeight="1" s="34">
      <c r="A14" s="74" t="inlineStr">
        <is>
          <t>B0014</t>
        </is>
      </c>
      <c r="B14" s="74" t="inlineStr">
        <is>
          <t>PDF local</t>
        </is>
      </c>
      <c r="C14" s="74" t="inlineStr">
        <is>
          <t>Spatial Mapping of Avocado Anthracnose Severity Using UAV-Derived Vegetation Indices in Amazonas, Peru</t>
        </is>
      </c>
      <c r="D14" s="74" t="n">
        <v>2026</v>
      </c>
      <c r="E14" s="74" t="inlineStr"/>
      <c r="F14" s="74" t="inlineStr"/>
      <c r="G14" s="74" t="inlineStr">
        <is>
          <t>Artículo PDF</t>
        </is>
      </c>
      <c r="H14" s="74" t="inlineStr">
        <is>
          <t>Aporta a Antracnosis.</t>
        </is>
      </c>
      <c r="I14" s="74" t="inlineStr">
        <is>
          <t>Relacionado con el objetivo por enfermedad/plaga foliar, síntomas visuales o método IA/UAV aplicable.</t>
        </is>
      </c>
      <c r="J14" s="74" t="inlineStr">
        <is>
          <t>Sí</t>
        </is>
      </c>
      <c r="K14" s="74" t="inlineStr">
        <is>
          <t>Parcial</t>
        </is>
      </c>
      <c r="L14" s="74" t="inlineStr">
        <is>
          <t>No</t>
        </is>
      </c>
      <c r="M14" s="74" t="inlineStr">
        <is>
          <t>Sí</t>
        </is>
      </c>
      <c r="N14" s="74" t="inlineStr">
        <is>
          <t>Sí</t>
        </is>
      </c>
      <c r="O14" s="74" t="inlineStr">
        <is>
          <t>Alta</t>
        </is>
      </c>
      <c r="P14" s="74" t="inlineStr">
        <is>
          <t>Alta calidad</t>
        </is>
      </c>
      <c r="Q14" s="74" t="inlineStr">
        <is>
          <t>Incluir</t>
        </is>
      </c>
      <c r="R14" s="74" t="inlineStr">
        <is>
          <t>Usar en marco teórico principal.</t>
        </is>
      </c>
    </row>
    <row r="15" ht="32" customHeight="1" s="34">
      <c r="A15" s="75" t="inlineStr">
        <is>
          <t>B0015</t>
        </is>
      </c>
      <c r="B15" s="75" t="inlineStr">
        <is>
          <t>Scopus</t>
        </is>
      </c>
      <c r="C15" s="75" t="inlineStr">
        <is>
          <t>Spatial Mapping of Avocado Anthracnose Severity Using UAV-Derived Vegetation Indices in Amazonas, Peru</t>
        </is>
      </c>
      <c r="D15" s="75" t="n">
        <v>2026</v>
      </c>
      <c r="E15" s="75" t="inlineStr">
        <is>
          <t>Guelac-Santillan M.; Puscan-Rojas J.; Sánchez-Vega J.A.; Huaman-Pilco A.F.; Medina-Medina A.J.; Tuesta-Trauco K.M.; Canta-Ventura J.M.; Barboza E.; Zabaleta-Santisteban J.A.</t>
        </is>
      </c>
      <c r="F15" s="75" t="inlineStr">
        <is>
          <t>10.3390/agriengineering8080340</t>
        </is>
      </c>
      <c r="G15" s="75" t="inlineStr">
        <is>
          <t>Article</t>
        </is>
      </c>
      <c r="H15" s="75" t="inlineStr">
        <is>
          <t>Aporta a Antracnosis.</t>
        </is>
      </c>
      <c r="I15" s="75" t="inlineStr">
        <is>
          <t>Relacionado con el objetivo por enfermedad/plaga foliar, síntomas visuales o método IA/UAV aplicable.</t>
        </is>
      </c>
      <c r="J15" s="75" t="inlineStr">
        <is>
          <t>Sí</t>
        </is>
      </c>
      <c r="K15" s="75" t="inlineStr">
        <is>
          <t>Parcial</t>
        </is>
      </c>
      <c r="L15" s="75" t="inlineStr">
        <is>
          <t>No</t>
        </is>
      </c>
      <c r="M15" s="75" t="inlineStr">
        <is>
          <t>Sí</t>
        </is>
      </c>
      <c r="N15" s="75" t="inlineStr">
        <is>
          <t>Sí</t>
        </is>
      </c>
      <c r="O15" s="75" t="inlineStr">
        <is>
          <t>Alta</t>
        </is>
      </c>
      <c r="P15" s="75" t="inlineStr">
        <is>
          <t>Alta calidad</t>
        </is>
      </c>
      <c r="Q15" s="75" t="inlineStr">
        <is>
          <t>Incluir</t>
        </is>
      </c>
      <c r="R15" s="75" t="inlineStr">
        <is>
          <t>Usar en marco teórico principal.</t>
        </is>
      </c>
    </row>
    <row r="16" ht="32" customHeight="1" s="34">
      <c r="A16" s="74" t="inlineStr">
        <is>
          <t>B0016</t>
        </is>
      </c>
      <c r="B16" s="74" t="inlineStr">
        <is>
          <t>IEEE Xplore</t>
        </is>
      </c>
      <c r="C16" s="74" t="inlineStr">
        <is>
          <t>CNN-Based Plant Leaf Disease Identification and Classification for Sustainable Agriculture</t>
        </is>
      </c>
      <c r="D16" s="74" t="n"/>
      <c r="E16" s="74" t="inlineStr"/>
      <c r="F16" s="74" t="inlineStr"/>
      <c r="G16" s="74" t="inlineStr">
        <is>
          <t>Enlace / recurso web</t>
        </is>
      </c>
      <c r="H16" s="74" t="inlineStr">
        <is>
          <t>Aporta a Apoyo metodológico.</t>
        </is>
      </c>
      <c r="I16" s="74" t="inlineStr">
        <is>
          <t>Relacionado con el objetivo por enfermedad/plaga foliar, síntomas visuales o método IA/UAV aplicable.</t>
        </is>
      </c>
      <c r="J16" s="74" t="inlineStr">
        <is>
          <t>Sí</t>
        </is>
      </c>
      <c r="K16" s="74" t="inlineStr">
        <is>
          <t>Parcial</t>
        </is>
      </c>
      <c r="L16" s="74" t="inlineStr">
        <is>
          <t>No</t>
        </is>
      </c>
      <c r="M16" s="74" t="inlineStr">
        <is>
          <t>Sí</t>
        </is>
      </c>
      <c r="N16" s="74" t="inlineStr">
        <is>
          <t>Sí</t>
        </is>
      </c>
      <c r="O16" s="74" t="inlineStr">
        <is>
          <t>Media</t>
        </is>
      </c>
      <c r="P16" s="74" t="inlineStr">
        <is>
          <t>Alta calidad</t>
        </is>
      </c>
      <c r="Q16" s="74" t="inlineStr">
        <is>
          <t>Reserva</t>
        </is>
      </c>
      <c r="R16" s="74" t="inlineStr">
        <is>
          <t>Mantener como apoyo o diagnóstico diferencial.</t>
        </is>
      </c>
    </row>
    <row r="17" ht="32" customHeight="1" s="34">
      <c r="A17" s="75" t="inlineStr">
        <is>
          <t>B0018</t>
        </is>
      </c>
      <c r="B17" s="75" t="inlineStr">
        <is>
          <t>IEEE Xplore</t>
        </is>
      </c>
      <c r="C17" s="75" t="inlineStr">
        <is>
          <t>Image-Based Plant Leaf Disease Detection using Deep Learning</t>
        </is>
      </c>
      <c r="D17" s="75" t="n"/>
      <c r="E17" s="75" t="inlineStr"/>
      <c r="F17" s="75" t="inlineStr"/>
      <c r="G17" s="75" t="inlineStr">
        <is>
          <t>Enlace / recurso web</t>
        </is>
      </c>
      <c r="H17" s="75" t="inlineStr">
        <is>
          <t>Aporta a Apoyo metodológico.</t>
        </is>
      </c>
      <c r="I17" s="75" t="inlineStr">
        <is>
          <t>Relacionado con el objetivo por enfermedad/plaga foliar, síntomas visuales o método IA/UAV aplicable.</t>
        </is>
      </c>
      <c r="J17" s="75" t="inlineStr">
        <is>
          <t>Sí</t>
        </is>
      </c>
      <c r="K17" s="75" t="inlineStr">
        <is>
          <t>Parcial</t>
        </is>
      </c>
      <c r="L17" s="75" t="inlineStr">
        <is>
          <t>No</t>
        </is>
      </c>
      <c r="M17" s="75" t="inlineStr">
        <is>
          <t>Sí</t>
        </is>
      </c>
      <c r="N17" s="75" t="inlineStr">
        <is>
          <t>Sí</t>
        </is>
      </c>
      <c r="O17" s="75" t="inlineStr">
        <is>
          <t>Media</t>
        </is>
      </c>
      <c r="P17" s="75" t="inlineStr">
        <is>
          <t>Alta calidad</t>
        </is>
      </c>
      <c r="Q17" s="75" t="inlineStr">
        <is>
          <t>Reserva</t>
        </is>
      </c>
      <c r="R17" s="75" t="inlineStr">
        <is>
          <t>Mantener como apoyo o diagnóstico diferencial.</t>
        </is>
      </c>
    </row>
    <row r="18" ht="32" customHeight="1" s="34">
      <c r="A18" s="74" t="inlineStr">
        <is>
          <t>B0019</t>
        </is>
      </c>
      <c r="B18" s="74" t="inlineStr">
        <is>
          <t>IEEE Xplore</t>
        </is>
      </c>
      <c r="C18" s="74" t="inlineStr">
        <is>
          <t>Plant Disease Detection Using Deep Learning</t>
        </is>
      </c>
      <c r="D18" s="74" t="n"/>
      <c r="E18" s="74" t="inlineStr"/>
      <c r="F18" s="74" t="inlineStr"/>
      <c r="G18" s="74" t="inlineStr">
        <is>
          <t>Enlace / recurso web</t>
        </is>
      </c>
      <c r="H18" s="74" t="inlineStr">
        <is>
          <t>Aporta a Apoyo metodológico.</t>
        </is>
      </c>
      <c r="I18" s="74" t="inlineStr">
        <is>
          <t>Relacionado con el objetivo por enfermedad/plaga foliar, síntomas visuales o método IA/UAV aplicable.</t>
        </is>
      </c>
      <c r="J18" s="74" t="inlineStr">
        <is>
          <t>Sí</t>
        </is>
      </c>
      <c r="K18" s="74" t="inlineStr">
        <is>
          <t>Parcial</t>
        </is>
      </c>
      <c r="L18" s="74" t="inlineStr">
        <is>
          <t>No</t>
        </is>
      </c>
      <c r="M18" s="74" t="inlineStr">
        <is>
          <t>Sí</t>
        </is>
      </c>
      <c r="N18" s="74" t="inlineStr">
        <is>
          <t>Sí</t>
        </is>
      </c>
      <c r="O18" s="74" t="inlineStr">
        <is>
          <t>Media</t>
        </is>
      </c>
      <c r="P18" s="74" t="inlineStr">
        <is>
          <t>Media calidad</t>
        </is>
      </c>
      <c r="Q18" s="74" t="inlineStr">
        <is>
          <t>Reserva</t>
        </is>
      </c>
      <c r="R18" s="74" t="inlineStr">
        <is>
          <t>Mantener como apoyo o diagnóstico diferencial.</t>
        </is>
      </c>
    </row>
    <row r="19" ht="32" customHeight="1" s="34">
      <c r="A19" s="75" t="inlineStr">
        <is>
          <t>B0020</t>
        </is>
      </c>
      <c r="B19" s="75" t="inlineStr">
        <is>
          <t>IEEE Xplore</t>
        </is>
      </c>
      <c r="C19" s="75" t="inlineStr">
        <is>
          <t>Real-Time Detection and Identification of Plant Leaf Diseases using YOLOv4-tiny</t>
        </is>
      </c>
      <c r="D19" s="75" t="n"/>
      <c r="E19" s="75" t="inlineStr"/>
      <c r="F19" s="75" t="inlineStr"/>
      <c r="G19" s="75" t="inlineStr">
        <is>
          <t>Enlace / recurso web</t>
        </is>
      </c>
      <c r="H19" s="75" t="inlineStr">
        <is>
          <t>Aporta a Apoyo metodológico.</t>
        </is>
      </c>
      <c r="I19" s="75" t="inlineStr">
        <is>
          <t>Relacionado con el objetivo por enfermedad/plaga foliar, síntomas visuales o método IA/UAV aplicable.</t>
        </is>
      </c>
      <c r="J19" s="75" t="inlineStr">
        <is>
          <t>Sí</t>
        </is>
      </c>
      <c r="K19" s="75" t="inlineStr">
        <is>
          <t>Parcial</t>
        </is>
      </c>
      <c r="L19" s="75" t="inlineStr">
        <is>
          <t>No</t>
        </is>
      </c>
      <c r="M19" s="75" t="inlineStr">
        <is>
          <t>Sí</t>
        </is>
      </c>
      <c r="N19" s="75" t="inlineStr">
        <is>
          <t>Sí</t>
        </is>
      </c>
      <c r="O19" s="75" t="inlineStr">
        <is>
          <t>Media</t>
        </is>
      </c>
      <c r="P19" s="75" t="inlineStr">
        <is>
          <t>Alta calidad</t>
        </is>
      </c>
      <c r="Q19" s="75" t="inlineStr">
        <is>
          <t>Reserva</t>
        </is>
      </c>
      <c r="R19" s="75" t="inlineStr">
        <is>
          <t>Mantener como apoyo o diagnóstico diferencial.</t>
        </is>
      </c>
    </row>
    <row r="20" ht="32" customHeight="1" s="34">
      <c r="A20" s="74" t="inlineStr">
        <is>
          <t>B0021</t>
        </is>
      </c>
      <c r="B20" s="74" t="inlineStr">
        <is>
          <t>PDF local</t>
        </is>
      </c>
      <c r="C20" s="74" t="inlineStr">
        <is>
          <t>Simultaneously prediction of multiple wheat leaf phenotypes using hyperspectral imaging with multi-task machine and deep learning</t>
        </is>
      </c>
      <c r="D20" s="74" t="n"/>
      <c r="E20" s="74" t="inlineStr"/>
      <c r="F20" s="74" t="inlineStr"/>
      <c r="G20" s="74" t="inlineStr">
        <is>
          <t>Artículo PDF</t>
        </is>
      </c>
      <c r="H20" s="74" t="inlineStr">
        <is>
          <t>Aporta a Apoyo metodológico.</t>
        </is>
      </c>
      <c r="I20" s="74" t="inlineStr">
        <is>
          <t>Relacionado con el objetivo por enfermedad/plaga foliar, síntomas visuales o método IA/UAV aplicable.</t>
        </is>
      </c>
      <c r="J20" s="74" t="inlineStr">
        <is>
          <t>Sí</t>
        </is>
      </c>
      <c r="K20" s="74" t="inlineStr">
        <is>
          <t>Parcial</t>
        </is>
      </c>
      <c r="L20" s="74" t="inlineStr">
        <is>
          <t>No</t>
        </is>
      </c>
      <c r="M20" s="74" t="inlineStr">
        <is>
          <t>Sí</t>
        </is>
      </c>
      <c r="N20" s="74" t="inlineStr">
        <is>
          <t>Sí</t>
        </is>
      </c>
      <c r="O20" s="74" t="inlineStr">
        <is>
          <t>Media</t>
        </is>
      </c>
      <c r="P20" s="74" t="inlineStr">
        <is>
          <t>Alta calidad</t>
        </is>
      </c>
      <c r="Q20" s="74" t="inlineStr">
        <is>
          <t>Reserva</t>
        </is>
      </c>
      <c r="R20" s="74" t="inlineStr">
        <is>
          <t>Mantener como apoyo o diagnóstico diferencial.</t>
        </is>
      </c>
    </row>
    <row r="21" ht="32" customHeight="1" s="34">
      <c r="A21" s="75" t="inlineStr">
        <is>
          <t>B0022</t>
        </is>
      </c>
      <c r="B21" s="75" t="inlineStr">
        <is>
          <t>PDF local</t>
        </is>
      </c>
      <c r="C21" s="75" t="inlineStr">
        <is>
          <t>Mitigating negative effects of long-term treated wastewater irrigation: Leaf gas exchange and water use efficiency response of avocado trees ( Persea americana Mill.)</t>
        </is>
      </c>
      <c r="D21" s="75" t="n">
        <v>2021</v>
      </c>
      <c r="E21" s="75" t="inlineStr"/>
      <c r="F21" s="75" t="inlineStr"/>
      <c r="G21" s="75" t="inlineStr">
        <is>
          <t>Artículo PDF</t>
        </is>
      </c>
      <c r="H21" s="75" t="inlineStr">
        <is>
          <t>Aporta a Apoyo metodológico.</t>
        </is>
      </c>
      <c r="I21" s="75" t="inlineStr">
        <is>
          <t>Relacionado con el objetivo por enfermedad/plaga foliar, síntomas visuales o método IA/UAV aplicable.</t>
        </is>
      </c>
      <c r="J21" s="75" t="inlineStr">
        <is>
          <t>No</t>
        </is>
      </c>
      <c r="K21" s="75" t="inlineStr">
        <is>
          <t>Parcial</t>
        </is>
      </c>
      <c r="L21" s="75" t="inlineStr">
        <is>
          <t>No</t>
        </is>
      </c>
      <c r="M21" s="75" t="inlineStr">
        <is>
          <t>Sí</t>
        </is>
      </c>
      <c r="N21" s="75" t="inlineStr">
        <is>
          <t>Sí</t>
        </is>
      </c>
      <c r="O21" s="75" t="inlineStr">
        <is>
          <t>Media</t>
        </is>
      </c>
      <c r="P21" s="75" t="inlineStr">
        <is>
          <t>Alta calidad</t>
        </is>
      </c>
      <c r="Q21" s="75" t="inlineStr">
        <is>
          <t>Reserva</t>
        </is>
      </c>
      <c r="R21" s="75" t="inlineStr">
        <is>
          <t>Mantener como apoyo o diagnóstico diferencial.</t>
        </is>
      </c>
    </row>
    <row r="22" ht="32" customHeight="1" s="34">
      <c r="A22" s="74" t="inlineStr">
        <is>
          <t>B0023</t>
        </is>
      </c>
      <c r="B22" s="74" t="inlineStr">
        <is>
          <t>IEEE Xplore</t>
        </is>
      </c>
      <c r="C22" s="74" t="inlineStr">
        <is>
          <t>Plant Disease Detection Using Deep Learning</t>
        </is>
      </c>
      <c r="D22" s="74" t="n">
        <v>2021</v>
      </c>
      <c r="E22" s="74" t="inlineStr">
        <is>
          <t>IEEE I2CT, 2021</t>
        </is>
      </c>
      <c r="F22" s="74" t="inlineStr">
        <is>
          <t>10.1109/I2CT51068.2021.9417910</t>
        </is>
      </c>
      <c r="G22" s="74" t="inlineStr">
        <is>
          <t>Ficha bibliográfica</t>
        </is>
      </c>
      <c r="H22" s="74" t="inlineStr">
        <is>
          <t>Aporta a Apoyo metodológico.</t>
        </is>
      </c>
      <c r="I22" s="74" t="inlineStr">
        <is>
          <t>Relacionado con el objetivo por enfermedad/plaga foliar, síntomas visuales o método IA/UAV aplicable.</t>
        </is>
      </c>
      <c r="J22" s="74" t="inlineStr">
        <is>
          <t>Sí</t>
        </is>
      </c>
      <c r="K22" s="74" t="inlineStr">
        <is>
          <t>Parcial</t>
        </is>
      </c>
      <c r="L22" s="74" t="inlineStr">
        <is>
          <t>No</t>
        </is>
      </c>
      <c r="M22" s="74" t="inlineStr">
        <is>
          <t>Sí</t>
        </is>
      </c>
      <c r="N22" s="74" t="inlineStr">
        <is>
          <t>Sí</t>
        </is>
      </c>
      <c r="O22" s="74" t="inlineStr">
        <is>
          <t>Media</t>
        </is>
      </c>
      <c r="P22" s="74" t="inlineStr">
        <is>
          <t>Alta calidad</t>
        </is>
      </c>
      <c r="Q22" s="74" t="inlineStr">
        <is>
          <t>Reserva</t>
        </is>
      </c>
      <c r="R22" s="74" t="inlineStr">
        <is>
          <t>Mantener como apoyo o diagnóstico diferencial.</t>
        </is>
      </c>
    </row>
    <row r="23" ht="32" customHeight="1" s="34">
      <c r="A23" s="75" t="inlineStr">
        <is>
          <t>B0024</t>
        </is>
      </c>
      <c r="B23" s="75" t="inlineStr">
        <is>
          <t>IEEE Xplore</t>
        </is>
      </c>
      <c r="C23" s="75" t="inlineStr">
        <is>
          <t>Real-Time Detection and Identification of Plant Leaf Diseases using YOLOv4-tiny</t>
        </is>
      </c>
      <c r="D23" s="75" t="n">
        <v>2021</v>
      </c>
      <c r="E23" s="75" t="inlineStr">
        <is>
          <t>IEEE ICCCNT, 2021</t>
        </is>
      </c>
      <c r="F23" s="75" t="inlineStr">
        <is>
          <t>10.1109/ICCCNT51525.2021.9579783</t>
        </is>
      </c>
      <c r="G23" s="75" t="inlineStr">
        <is>
          <t>Ficha bibliográfica</t>
        </is>
      </c>
      <c r="H23" s="75" t="inlineStr">
        <is>
          <t>Aporta a Apoyo metodológico.</t>
        </is>
      </c>
      <c r="I23" s="75" t="inlineStr">
        <is>
          <t>Relacionado con el objetivo por enfermedad/plaga foliar, síntomas visuales o método IA/UAV aplicable.</t>
        </is>
      </c>
      <c r="J23" s="75" t="inlineStr">
        <is>
          <t>Sí</t>
        </is>
      </c>
      <c r="K23" s="75" t="inlineStr">
        <is>
          <t>Parcial</t>
        </is>
      </c>
      <c r="L23" s="75" t="inlineStr">
        <is>
          <t>No</t>
        </is>
      </c>
      <c r="M23" s="75" t="inlineStr">
        <is>
          <t>Sí</t>
        </is>
      </c>
      <c r="N23" s="75" t="inlineStr">
        <is>
          <t>Sí</t>
        </is>
      </c>
      <c r="O23" s="75" t="inlineStr">
        <is>
          <t>Media</t>
        </is>
      </c>
      <c r="P23" s="75" t="inlineStr">
        <is>
          <t>Alta calidad</t>
        </is>
      </c>
      <c r="Q23" s="75" t="inlineStr">
        <is>
          <t>Reserva</t>
        </is>
      </c>
      <c r="R23" s="75" t="inlineStr">
        <is>
          <t>Mantener como apoyo o diagnóstico diferencial.</t>
        </is>
      </c>
    </row>
    <row r="24" ht="32" customHeight="1" s="34">
      <c r="A24" s="74" t="inlineStr">
        <is>
          <t>B0025</t>
        </is>
      </c>
      <c r="B24" s="74" t="inlineStr">
        <is>
          <t>PDF local</t>
        </is>
      </c>
      <c r="C24" s="74" t="inlineStr">
        <is>
          <t>Implementation of Deep Learning for Image-Based Potato Leaf Disease Detection</t>
        </is>
      </c>
      <c r="D24" s="74" t="n">
        <v>2023</v>
      </c>
      <c r="E24" s="74" t="inlineStr"/>
      <c r="F24" s="74" t="inlineStr">
        <is>
          <t>10.22214/ijraset.2023.53806</t>
        </is>
      </c>
      <c r="G24" s="74" t="inlineStr">
        <is>
          <t>Artículo PDF</t>
        </is>
      </c>
      <c r="H24" s="74" t="inlineStr">
        <is>
          <t>Aporta a Apoyo metodológico.</t>
        </is>
      </c>
      <c r="I24" s="74" t="inlineStr">
        <is>
          <t>Relacionado con el objetivo por enfermedad/plaga foliar, síntomas visuales o método IA/UAV aplicable.</t>
        </is>
      </c>
      <c r="J24" s="74" t="inlineStr">
        <is>
          <t>Sí</t>
        </is>
      </c>
      <c r="K24" s="74" t="inlineStr">
        <is>
          <t>Parcial</t>
        </is>
      </c>
      <c r="L24" s="74" t="inlineStr">
        <is>
          <t>No</t>
        </is>
      </c>
      <c r="M24" s="74" t="inlineStr">
        <is>
          <t>Sí</t>
        </is>
      </c>
      <c r="N24" s="74" t="inlineStr">
        <is>
          <t>Sí</t>
        </is>
      </c>
      <c r="O24" s="74" t="inlineStr">
        <is>
          <t>Media</t>
        </is>
      </c>
      <c r="P24" s="74" t="inlineStr">
        <is>
          <t>Alta calidad</t>
        </is>
      </c>
      <c r="Q24" s="74" t="inlineStr">
        <is>
          <t>Reserva</t>
        </is>
      </c>
      <c r="R24" s="74" t="inlineStr">
        <is>
          <t>Mantener como apoyo o diagnóstico diferencial.</t>
        </is>
      </c>
    </row>
    <row r="25" ht="32" customHeight="1" s="34">
      <c r="A25" s="75" t="inlineStr">
        <is>
          <t>B0026</t>
        </is>
      </c>
      <c r="B25" s="75" t="inlineStr">
        <is>
          <t>IEEE Xplore</t>
        </is>
      </c>
      <c r="C25" s="75" t="inlineStr">
        <is>
          <t>Image-Based Plant Leaf Disease Detection using Deep Learning</t>
        </is>
      </c>
      <c r="D25" s="75" t="n">
        <v>2024</v>
      </c>
      <c r="E25" s="75" t="inlineStr">
        <is>
          <t>IEEE IConSCEPT, 2024</t>
        </is>
      </c>
      <c r="F25" s="75" t="inlineStr">
        <is>
          <t>10.1109/IConSCEPT61884.2024.10627918</t>
        </is>
      </c>
      <c r="G25" s="75" t="inlineStr">
        <is>
          <t>Ficha bibliográfica</t>
        </is>
      </c>
      <c r="H25" s="75" t="inlineStr">
        <is>
          <t>Aporta a Apoyo metodológico.</t>
        </is>
      </c>
      <c r="I25" s="75" t="inlineStr">
        <is>
          <t>Relacionado con el objetivo por enfermedad/plaga foliar, síntomas visuales o método IA/UAV aplicable.</t>
        </is>
      </c>
      <c r="J25" s="75" t="inlineStr">
        <is>
          <t>Sí</t>
        </is>
      </c>
      <c r="K25" s="75" t="inlineStr">
        <is>
          <t>Parcial</t>
        </is>
      </c>
      <c r="L25" s="75" t="inlineStr">
        <is>
          <t>Sí</t>
        </is>
      </c>
      <c r="M25" s="75" t="inlineStr">
        <is>
          <t>Sí</t>
        </is>
      </c>
      <c r="N25" s="75" t="inlineStr">
        <is>
          <t>Sí</t>
        </is>
      </c>
      <c r="O25" s="75" t="inlineStr">
        <is>
          <t>Media</t>
        </is>
      </c>
      <c r="P25" s="75" t="inlineStr">
        <is>
          <t>Alta calidad</t>
        </is>
      </c>
      <c r="Q25" s="75" t="inlineStr">
        <is>
          <t>Reserva</t>
        </is>
      </c>
      <c r="R25" s="75" t="inlineStr">
        <is>
          <t>Mantener como apoyo o diagnóstico diferencial.</t>
        </is>
      </c>
    </row>
    <row r="26" ht="32" customHeight="1" s="34">
      <c r="A26" s="74" t="inlineStr">
        <is>
          <t>B0027</t>
        </is>
      </c>
      <c r="B26" s="74" t="inlineStr">
        <is>
          <t>IEEE Xplore</t>
        </is>
      </c>
      <c r="C26" s="74" t="inlineStr">
        <is>
          <t>Plant Leaf Disease Detection, Classification, and Diagnosis Using Computer Vision and Artificial Intelligence: A Review</t>
        </is>
      </c>
      <c r="D26" s="74" t="n">
        <v>2024</v>
      </c>
      <c r="E26" s="74" t="inlineStr">
        <is>
          <t>Revision IEEE Access, 2024</t>
        </is>
      </c>
      <c r="F26" s="74" t="inlineStr">
        <is>
          <t>10.1109/ACCESS.2024.3373001</t>
        </is>
      </c>
      <c r="G26" s="74" t="inlineStr">
        <is>
          <t>Ficha bibliográfica</t>
        </is>
      </c>
      <c r="H26" s="74" t="inlineStr">
        <is>
          <t>Aporta a Apoyo metodológico.</t>
        </is>
      </c>
      <c r="I26" s="74" t="inlineStr">
        <is>
          <t>Relacionado con el objetivo por enfermedad/plaga foliar, síntomas visuales o método IA/UAV aplicable.</t>
        </is>
      </c>
      <c r="J26" s="74" t="inlineStr">
        <is>
          <t>Sí</t>
        </is>
      </c>
      <c r="K26" s="74" t="inlineStr">
        <is>
          <t>Parcial</t>
        </is>
      </c>
      <c r="L26" s="74" t="inlineStr">
        <is>
          <t>No</t>
        </is>
      </c>
      <c r="M26" s="74" t="inlineStr">
        <is>
          <t>Sí</t>
        </is>
      </c>
      <c r="N26" s="74" t="inlineStr">
        <is>
          <t>Sí</t>
        </is>
      </c>
      <c r="O26" s="74" t="inlineStr">
        <is>
          <t>Media</t>
        </is>
      </c>
      <c r="P26" s="74" t="inlineStr">
        <is>
          <t>Alta calidad</t>
        </is>
      </c>
      <c r="Q26" s="74" t="inlineStr">
        <is>
          <t>Reserva</t>
        </is>
      </c>
      <c r="R26" s="74" t="inlineStr">
        <is>
          <t>Mantener como apoyo o diagnóstico diferencial.</t>
        </is>
      </c>
    </row>
    <row r="27" ht="32" customHeight="1" s="34">
      <c r="A27" s="75" t="inlineStr">
        <is>
          <t>B0028</t>
        </is>
      </c>
      <c r="B27" s="75" t="inlineStr">
        <is>
          <t>IEEE Xplore</t>
        </is>
      </c>
      <c r="C27" s="75" t="inlineStr">
        <is>
          <t>CNN-Based Plant Leaf Disease Identification and Classification for Sustainable Agriculture</t>
        </is>
      </c>
      <c r="D27" s="75" t="n">
        <v>2025</v>
      </c>
      <c r="E27" s="75" t="inlineStr">
        <is>
          <t>IEEE ICMCSI, 2025</t>
        </is>
      </c>
      <c r="F27" s="75" t="inlineStr">
        <is>
          <t>10.1109/ICMCSI64620.2025.10883522</t>
        </is>
      </c>
      <c r="G27" s="75" t="inlineStr">
        <is>
          <t>Ficha bibliográfica</t>
        </is>
      </c>
      <c r="H27" s="75" t="inlineStr">
        <is>
          <t>Aporta a Apoyo metodológico.</t>
        </is>
      </c>
      <c r="I27" s="75" t="inlineStr">
        <is>
          <t>Relacionado con el objetivo por enfermedad/plaga foliar, síntomas visuales o método IA/UAV aplicable.</t>
        </is>
      </c>
      <c r="J27" s="75" t="inlineStr">
        <is>
          <t>Sí</t>
        </is>
      </c>
      <c r="K27" s="75" t="inlineStr">
        <is>
          <t>Parcial</t>
        </is>
      </c>
      <c r="L27" s="75" t="inlineStr">
        <is>
          <t>No</t>
        </is>
      </c>
      <c r="M27" s="75" t="inlineStr">
        <is>
          <t>Sí</t>
        </is>
      </c>
      <c r="N27" s="75" t="inlineStr">
        <is>
          <t>Sí</t>
        </is>
      </c>
      <c r="O27" s="75" t="inlineStr">
        <is>
          <t>Media</t>
        </is>
      </c>
      <c r="P27" s="75" t="inlineStr">
        <is>
          <t>Alta calidad</t>
        </is>
      </c>
      <c r="Q27" s="75" t="inlineStr">
        <is>
          <t>Reserva</t>
        </is>
      </c>
      <c r="R27" s="75" t="inlineStr">
        <is>
          <t>Mantener como apoyo o diagnóstico diferencial.</t>
        </is>
      </c>
    </row>
    <row r="28" ht="32" customHeight="1" s="34">
      <c r="A28" s="74" t="inlineStr">
        <is>
          <t>B0033</t>
        </is>
      </c>
      <c r="B28" s="74" t="inlineStr">
        <is>
          <t>Web / DOI</t>
        </is>
      </c>
      <c r="C28" s="74" t="inlineStr">
        <is>
          <t>05 Arana roja Oligonychus perseae Torres 2022</t>
        </is>
      </c>
      <c r="D28" s="74" t="n">
        <v>2022</v>
      </c>
      <c r="E28" s="74" t="inlineStr"/>
      <c r="F28" s="74" t="inlineStr">
        <is>
          <t>10.1080/01647954.2022.2134923</t>
        </is>
      </c>
      <c r="G28" s="74" t="inlineStr">
        <is>
          <t>Enlace / recurso web</t>
        </is>
      </c>
      <c r="H28" s="74" t="inlineStr">
        <is>
          <t>Aporta a Araña roja.</t>
        </is>
      </c>
      <c r="I28" s="74" t="inlineStr">
        <is>
          <t>Relacionado con el objetivo por enfermedad/plaga foliar, síntomas visuales o método IA/UAV aplicable.</t>
        </is>
      </c>
      <c r="J28" s="74" t="inlineStr">
        <is>
          <t>No</t>
        </is>
      </c>
      <c r="K28" s="74" t="inlineStr">
        <is>
          <t>Parcial</t>
        </is>
      </c>
      <c r="L28" s="74" t="inlineStr">
        <is>
          <t>No</t>
        </is>
      </c>
      <c r="M28" s="74" t="inlineStr">
        <is>
          <t>Sí</t>
        </is>
      </c>
      <c r="N28" s="74" t="inlineStr">
        <is>
          <t>Sí</t>
        </is>
      </c>
      <c r="O28" s="74" t="inlineStr">
        <is>
          <t>Alta</t>
        </is>
      </c>
      <c r="P28" s="74" t="inlineStr">
        <is>
          <t>Alta calidad</t>
        </is>
      </c>
      <c r="Q28" s="74" t="inlineStr">
        <is>
          <t>Incluir</t>
        </is>
      </c>
      <c r="R28" s="74" t="inlineStr">
        <is>
          <t>Usar en marco teórico principal.</t>
        </is>
      </c>
    </row>
    <row r="29" ht="32" customHeight="1" s="34">
      <c r="A29" s="75" t="inlineStr">
        <is>
          <t>B0034</t>
        </is>
      </c>
      <c r="B29" s="75" t="inlineStr">
        <is>
          <t>Scopus</t>
        </is>
      </c>
      <c r="C29"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29" s="75" t="n">
        <v>2023</v>
      </c>
      <c r="E29" s="75" t="inlineStr">
        <is>
          <t>Báñez-Aldave H.W.; Cuesta-Herrera L.; López-Hernández J.; Andrades-Grassi J.; Torres-Mantilla H.A.</t>
        </is>
      </c>
      <c r="F29" s="75" t="inlineStr">
        <is>
          <t>10.15446/rfnam.v76n2.102479</t>
        </is>
      </c>
      <c r="G29" s="75" t="inlineStr">
        <is>
          <t>Article</t>
        </is>
      </c>
      <c r="H29" s="75" t="inlineStr">
        <is>
          <t>Aporta a Araña roja.</t>
        </is>
      </c>
      <c r="I29" s="75" t="inlineStr">
        <is>
          <t>Relacionado con el objetivo por enfermedad/plaga foliar, síntomas visuales o método IA/UAV aplicable.</t>
        </is>
      </c>
      <c r="J29" s="75" t="inlineStr">
        <is>
          <t>No</t>
        </is>
      </c>
      <c r="K29" s="75" t="inlineStr">
        <is>
          <t>Parcial</t>
        </is>
      </c>
      <c r="L29" s="75" t="inlineStr">
        <is>
          <t>Sí</t>
        </is>
      </c>
      <c r="M29" s="75" t="inlineStr">
        <is>
          <t>Sí</t>
        </is>
      </c>
      <c r="N29" s="75" t="inlineStr">
        <is>
          <t>Sí</t>
        </is>
      </c>
      <c r="O29" s="75" t="inlineStr">
        <is>
          <t>Alta</t>
        </is>
      </c>
      <c r="P29" s="75" t="inlineStr">
        <is>
          <t>Alta calidad</t>
        </is>
      </c>
      <c r="Q29" s="75" t="inlineStr">
        <is>
          <t>Incluir</t>
        </is>
      </c>
      <c r="R29" s="75" t="inlineStr">
        <is>
          <t>Usar en marco teórico principal.</t>
        </is>
      </c>
    </row>
    <row r="30" ht="32" customHeight="1" s="34">
      <c r="A30" s="74" t="inlineStr">
        <is>
          <t>B0035</t>
        </is>
      </c>
      <c r="B30" s="74" t="inlineStr">
        <is>
          <t>Scopus</t>
        </is>
      </c>
      <c r="C30"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0" s="74" t="n">
        <v>2023</v>
      </c>
      <c r="E30" s="74" t="inlineStr">
        <is>
          <t>Deza-Deza G.; Pinna-Cabrejos J.</t>
        </is>
      </c>
      <c r="F30" s="74" t="inlineStr">
        <is>
          <t>10.31910/rudca.v26.n2.2023.2370</t>
        </is>
      </c>
      <c r="G30" s="74" t="inlineStr">
        <is>
          <t>Article</t>
        </is>
      </c>
      <c r="H30" s="74" t="inlineStr">
        <is>
          <t>Aporta a Araña roja.</t>
        </is>
      </c>
      <c r="I30" s="74" t="inlineStr">
        <is>
          <t>Relacionado con el objetivo por enfermedad/plaga foliar, síntomas visuales o método IA/UAV aplicable.</t>
        </is>
      </c>
      <c r="J30" s="74" t="inlineStr">
        <is>
          <t>No</t>
        </is>
      </c>
      <c r="K30" s="74" t="inlineStr">
        <is>
          <t>Parcial</t>
        </is>
      </c>
      <c r="L30" s="74" t="inlineStr">
        <is>
          <t>No</t>
        </is>
      </c>
      <c r="M30" s="74" t="inlineStr">
        <is>
          <t>Sí</t>
        </is>
      </c>
      <c r="N30" s="74" t="inlineStr">
        <is>
          <t>Sí</t>
        </is>
      </c>
      <c r="O30" s="74" t="inlineStr">
        <is>
          <t>Media</t>
        </is>
      </c>
      <c r="P30" s="74" t="inlineStr">
        <is>
          <t>Alta calidad</t>
        </is>
      </c>
      <c r="Q30" s="74" t="inlineStr">
        <is>
          <t>Reserva</t>
        </is>
      </c>
      <c r="R30" s="74" t="inlineStr">
        <is>
          <t>Mantener como apoyo o diagnóstico diferencial.</t>
        </is>
      </c>
    </row>
    <row r="31" ht="32" customHeight="1" s="34">
      <c r="A31" s="75" t="inlineStr">
        <is>
          <t>B0036</t>
        </is>
      </c>
      <c r="B31" s="75" t="inlineStr">
        <is>
          <t>Scopus</t>
        </is>
      </c>
      <c r="C31" s="75" t="inlineStr">
        <is>
          <t>Spatial modeling of red spider mite Oligonychus punicae (Acari: Tetranychidae) in avocado crop</t>
        </is>
      </c>
      <c r="D31" s="75" t="n">
        <v>2023</v>
      </c>
      <c r="E31" s="75" t="inlineStr">
        <is>
          <t>Lara-Vázquez F.; Ramírez-Dávila J.F.; Figueroa-Figueroa D.K.; Tapia-Rodríguez A.; González-Huerta A.</t>
        </is>
      </c>
      <c r="F31" s="75" t="inlineStr">
        <is>
          <t>10.1653/024.106.0402</t>
        </is>
      </c>
      <c r="G31" s="75" t="inlineStr">
        <is>
          <t>Article</t>
        </is>
      </c>
      <c r="H31" s="75" t="inlineStr">
        <is>
          <t>Aporta a Araña roja.</t>
        </is>
      </c>
      <c r="I31" s="75" t="inlineStr">
        <is>
          <t>Relacionado con el objetivo por enfermedad/plaga foliar, síntomas visuales o método IA/UAV aplicable.</t>
        </is>
      </c>
      <c r="J31" s="75" t="inlineStr">
        <is>
          <t>No</t>
        </is>
      </c>
      <c r="K31" s="75" t="inlineStr">
        <is>
          <t>Parcial</t>
        </is>
      </c>
      <c r="L31" s="75" t="inlineStr">
        <is>
          <t>No</t>
        </is>
      </c>
      <c r="M31" s="75" t="inlineStr">
        <is>
          <t>Sí</t>
        </is>
      </c>
      <c r="N31" s="75" t="inlineStr">
        <is>
          <t>Sí</t>
        </is>
      </c>
      <c r="O31" s="75" t="inlineStr">
        <is>
          <t>Alta</t>
        </is>
      </c>
      <c r="P31" s="75" t="inlineStr">
        <is>
          <t>Alta calidad</t>
        </is>
      </c>
      <c r="Q31" s="75" t="inlineStr">
        <is>
          <t>Incluir</t>
        </is>
      </c>
      <c r="R31" s="75" t="inlineStr">
        <is>
          <t>Usar en marco teórico principal.</t>
        </is>
      </c>
    </row>
    <row r="32" ht="32" customHeight="1" s="34">
      <c r="A32" s="74" t="inlineStr">
        <is>
          <t>B0037</t>
        </is>
      </c>
      <c r="B32" s="74" t="inlineStr">
        <is>
          <t>Scopus</t>
        </is>
      </c>
      <c r="C32" s="74" t="inlineStr">
        <is>
          <t>Biosecurity practices and exploratory survey for pests and diseases of avocados in the Gharb-Loukkos region, Morocco</t>
        </is>
      </c>
      <c r="D32" s="74" t="n">
        <v>2025</v>
      </c>
      <c r="E32" s="74" t="inlineStr">
        <is>
          <t>Ouaznati S.M.; El Fakhouri K.; Belkadi B.; Douira A.; El Bouhssini M.; Touhami A.O.</t>
        </is>
      </c>
      <c r="F32" s="74" t="inlineStr">
        <is>
          <t>10.17660/ActaHortic.2025.1422.47</t>
        </is>
      </c>
      <c r="G32" s="74" t="inlineStr">
        <is>
          <t>Conference paper</t>
        </is>
      </c>
      <c r="H32" s="74" t="inlineStr">
        <is>
          <t>Aporta a Araña roja.</t>
        </is>
      </c>
      <c r="I32" s="74" t="inlineStr">
        <is>
          <t>Relacionado con el objetivo por enfermedad/plaga foliar, síntomas visuales o método IA/UAV aplicable.</t>
        </is>
      </c>
      <c r="J32" s="74" t="inlineStr">
        <is>
          <t>No</t>
        </is>
      </c>
      <c r="K32" s="74" t="inlineStr">
        <is>
          <t>Parcial</t>
        </is>
      </c>
      <c r="L32" s="74" t="inlineStr">
        <is>
          <t>No</t>
        </is>
      </c>
      <c r="M32" s="74" t="inlineStr">
        <is>
          <t>Sí</t>
        </is>
      </c>
      <c r="N32" s="74" t="inlineStr">
        <is>
          <t>Sí</t>
        </is>
      </c>
      <c r="O32" s="74" t="inlineStr">
        <is>
          <t>Alta</t>
        </is>
      </c>
      <c r="P32" s="74" t="inlineStr">
        <is>
          <t>Alta calidad</t>
        </is>
      </c>
      <c r="Q32" s="74" t="inlineStr">
        <is>
          <t>Incluir</t>
        </is>
      </c>
      <c r="R32" s="74" t="inlineStr">
        <is>
          <t>Usar en marco teórico principal.</t>
        </is>
      </c>
    </row>
    <row r="33" ht="32" customHeight="1" s="34">
      <c r="A33" s="75" t="inlineStr">
        <is>
          <t>B0041</t>
        </is>
      </c>
      <c r="B33" s="75" t="inlineStr">
        <is>
          <t>IEEE Xplore</t>
        </is>
      </c>
      <c r="C33" s="75" t="inlineStr">
        <is>
          <t>Plant Leaf Disease Detection Classification and Diagnosis Using Computer Vision and Artificial Intelligence A Review</t>
        </is>
      </c>
      <c r="D33" s="75" t="n"/>
      <c r="E33" s="75" t="inlineStr"/>
      <c r="F33" s="75" t="inlineStr"/>
      <c r="G33" s="75" t="inlineStr">
        <is>
          <t>Enlace / recurso web</t>
        </is>
      </c>
      <c r="H33" s="75" t="inlineStr">
        <is>
          <t>Aporta a Mosca blanca.</t>
        </is>
      </c>
      <c r="I33" s="75" t="inlineStr">
        <is>
          <t>Relacionado con el objetivo por enfermedad/plaga foliar, síntomas visuales o método IA/UAV aplicable.</t>
        </is>
      </c>
      <c r="J33" s="75" t="inlineStr">
        <is>
          <t>Sí</t>
        </is>
      </c>
      <c r="K33" s="75" t="inlineStr">
        <is>
          <t>Parcial</t>
        </is>
      </c>
      <c r="L33" s="75" t="inlineStr">
        <is>
          <t>No</t>
        </is>
      </c>
      <c r="M33" s="75" t="inlineStr">
        <is>
          <t>Sí</t>
        </is>
      </c>
      <c r="N33" s="75" t="inlineStr">
        <is>
          <t>Sí</t>
        </is>
      </c>
      <c r="O33" s="75" t="inlineStr">
        <is>
          <t>Media</t>
        </is>
      </c>
      <c r="P33" s="75" t="inlineStr">
        <is>
          <t>Alta calidad</t>
        </is>
      </c>
      <c r="Q33" s="75" t="inlineStr">
        <is>
          <t>Reserva</t>
        </is>
      </c>
      <c r="R33" s="75" t="inlineStr">
        <is>
          <t>Mantener como apoyo o diagnóstico diferencial.</t>
        </is>
      </c>
    </row>
    <row r="34" ht="32" customHeight="1" s="34">
      <c r="A34" s="74" t="inlineStr">
        <is>
          <t>B0044</t>
        </is>
      </c>
      <c r="B34" s="74" t="inlineStr">
        <is>
          <t>BibTeX</t>
        </is>
      </c>
      <c r="C34" s="74" t="inlineStr">
        <is>
          <t>Comparative secretome analysis unveils species-specific virulence factors in Elsinoe perseae, the causative agent of the scab disease of avocado (Persea americana)</t>
        </is>
      </c>
      <c r="D34" s="74" t="n">
        <v>2024</v>
      </c>
      <c r="E34" s="74" t="inlineStr">
        <is>
          <t>Chellappan, Biju Vadakkemukadiyil</t>
        </is>
      </c>
      <c r="F34" s="74" t="inlineStr">
        <is>
          <t>10.3934/microbiol.2024039</t>
        </is>
      </c>
      <c r="G34" s="74" t="inlineStr">
        <is>
          <t>Artículo referenciado</t>
        </is>
      </c>
      <c r="H34" s="74" t="inlineStr">
        <is>
          <t>Aporta a Roña.</t>
        </is>
      </c>
      <c r="I34" s="74" t="inlineStr">
        <is>
          <t>Relacionado con el objetivo por enfermedad/plaga foliar, síntomas visuales o método IA/UAV aplicable.</t>
        </is>
      </c>
      <c r="J34" s="74" t="inlineStr">
        <is>
          <t>No</t>
        </is>
      </c>
      <c r="K34" s="74" t="inlineStr">
        <is>
          <t>Parcial</t>
        </is>
      </c>
      <c r="L34" s="74" t="inlineStr">
        <is>
          <t>No</t>
        </is>
      </c>
      <c r="M34" s="74" t="inlineStr">
        <is>
          <t>Sí</t>
        </is>
      </c>
      <c r="N34" s="74" t="inlineStr">
        <is>
          <t>Sí</t>
        </is>
      </c>
      <c r="O34" s="74" t="inlineStr">
        <is>
          <t>Alta</t>
        </is>
      </c>
      <c r="P34" s="74" t="inlineStr">
        <is>
          <t>Alta calidad</t>
        </is>
      </c>
      <c r="Q34" s="74" t="inlineStr">
        <is>
          <t>Incluir</t>
        </is>
      </c>
      <c r="R34" s="74" t="inlineStr">
        <is>
          <t>Usar en marco teórico principal.</t>
        </is>
      </c>
    </row>
    <row r="35" ht="32" customHeight="1" s="34">
      <c r="A35" s="75" t="inlineStr">
        <is>
          <t>B0045</t>
        </is>
      </c>
      <c r="B35" s="75" t="inlineStr">
        <is>
          <t>Scopus</t>
        </is>
      </c>
      <c r="C35" s="75" t="inlineStr">
        <is>
          <t>Real-time hass avocado ripeness detection using close-range UAV imagery and YOLO-based deep learning</t>
        </is>
      </c>
      <c r="D35" s="75" t="n"/>
      <c r="E35" s="75" t="inlineStr"/>
      <c r="F35" s="75" t="inlineStr"/>
      <c r="G35" s="75" t="inlineStr">
        <is>
          <t>Artículo PDF</t>
        </is>
      </c>
      <c r="H35" s="75" t="inlineStr">
        <is>
          <t>Aporta a Sin clasificar.</t>
        </is>
      </c>
      <c r="I35" s="75" t="inlineStr">
        <is>
          <t>Relacionado con el objetivo por enfermedad/plaga foliar, síntomas visuales o método IA/UAV aplicable.</t>
        </is>
      </c>
      <c r="J35" s="75" t="inlineStr">
        <is>
          <t>Sí</t>
        </is>
      </c>
      <c r="K35" s="75" t="inlineStr">
        <is>
          <t>Parcial</t>
        </is>
      </c>
      <c r="L35" s="75" t="inlineStr">
        <is>
          <t>No</t>
        </is>
      </c>
      <c r="M35" s="75" t="inlineStr">
        <is>
          <t>Sí</t>
        </is>
      </c>
      <c r="N35" s="75" t="inlineStr">
        <is>
          <t>Sí</t>
        </is>
      </c>
      <c r="O35" s="75" t="inlineStr">
        <is>
          <t>Media</t>
        </is>
      </c>
      <c r="P35" s="75" t="inlineStr">
        <is>
          <t>Alta calidad</t>
        </is>
      </c>
      <c r="Q35" s="75" t="inlineStr">
        <is>
          <t>Reserva</t>
        </is>
      </c>
      <c r="R35" s="75" t="inlineStr">
        <is>
          <t>Mantener como apoyo o diagnóstico diferencial.</t>
        </is>
      </c>
    </row>
    <row r="36" ht="32" customHeight="1" s="34">
      <c r="A36" s="74" t="inlineStr">
        <is>
          <t>B0046</t>
        </is>
      </c>
      <c r="B36" s="74" t="inlineStr">
        <is>
          <t>Web / DOI</t>
        </is>
      </c>
      <c r="C36" s="74" t="inlineStr">
        <is>
          <t>03 Tizon Neopestalotiopsis Darapanit 2021</t>
        </is>
      </c>
      <c r="D36" s="74" t="n"/>
      <c r="E36" s="74" t="inlineStr"/>
      <c r="F36" s="74" t="inlineStr"/>
      <c r="G36" s="74" t="inlineStr">
        <is>
          <t>Enlace / recurso web</t>
        </is>
      </c>
      <c r="H36" s="74" t="inlineStr">
        <is>
          <t>Aporta a Tizón de la hoja.</t>
        </is>
      </c>
      <c r="I36" s="74" t="inlineStr">
        <is>
          <t>Relacionado con el objetivo por enfermedad/plaga foliar, síntomas visuales o método IA/UAV aplicable.</t>
        </is>
      </c>
      <c r="J36" s="74" t="inlineStr">
        <is>
          <t>No</t>
        </is>
      </c>
      <c r="K36" s="74" t="inlineStr">
        <is>
          <t>Parcial</t>
        </is>
      </c>
      <c r="L36" s="74" t="inlineStr">
        <is>
          <t>No</t>
        </is>
      </c>
      <c r="M36" s="74" t="inlineStr">
        <is>
          <t>Sí</t>
        </is>
      </c>
      <c r="N36" s="74" t="inlineStr">
        <is>
          <t>Sí</t>
        </is>
      </c>
      <c r="O36" s="74" t="inlineStr">
        <is>
          <t>Media</t>
        </is>
      </c>
      <c r="P36" s="74" t="inlineStr">
        <is>
          <t>Alta calidad</t>
        </is>
      </c>
      <c r="Q36" s="74" t="inlineStr">
        <is>
          <t>Reserva</t>
        </is>
      </c>
      <c r="R36" s="74" t="inlineStr">
        <is>
          <t>Mantener como apoyo o diagnóstico diferencial.</t>
        </is>
      </c>
    </row>
    <row r="37" ht="32" customHeight="1" s="34">
      <c r="A37" s="75" t="inlineStr">
        <is>
          <t>B0047</t>
        </is>
      </c>
      <c r="B37" s="75" t="inlineStr">
        <is>
          <t>BibTeX</t>
        </is>
      </c>
      <c r="C37" s="75" t="inlineStr">
        <is>
          <t>Identification, pathogenicity and effects of plant extracts on Neopestalotiopsis and Pseudopestalotiopsis causing fruit diseases</t>
        </is>
      </c>
      <c r="D37" s="75" t="n">
        <v>2021</v>
      </c>
      <c r="E37" s="75" t="inlineStr">
        <is>
          <t>Darapanit, Angwara and Boonyuen, Nattawut and Leesutthiphonchai, Wiphawee and Nuankaew, Salilaporn and Piasai, Onuma</t>
        </is>
      </c>
      <c r="F37" s="75" t="inlineStr">
        <is>
          <t>10.1038/s41598-021-02113-5</t>
        </is>
      </c>
      <c r="G37" s="75" t="inlineStr">
        <is>
          <t>Artículo referenciado</t>
        </is>
      </c>
      <c r="H37" s="75" t="inlineStr">
        <is>
          <t>Aporta a Tizón de la hoja.</t>
        </is>
      </c>
      <c r="I37" s="75" t="inlineStr">
        <is>
          <t>Relacionado con el objetivo por enfermedad/plaga foliar, síntomas visuales o método IA/UAV aplicable.</t>
        </is>
      </c>
      <c r="J37" s="75" t="inlineStr">
        <is>
          <t>No</t>
        </is>
      </c>
      <c r="K37" s="75" t="inlineStr">
        <is>
          <t>Parcial</t>
        </is>
      </c>
      <c r="L37" s="75" t="inlineStr">
        <is>
          <t>No</t>
        </is>
      </c>
      <c r="M37" s="75" t="inlineStr">
        <is>
          <t>Sí</t>
        </is>
      </c>
      <c r="N37" s="75" t="inlineStr">
        <is>
          <t>Sí</t>
        </is>
      </c>
      <c r="O37" s="75" t="inlineStr">
        <is>
          <t>Media</t>
        </is>
      </c>
      <c r="P37" s="75" t="inlineStr">
        <is>
          <t>Alta calidad</t>
        </is>
      </c>
      <c r="Q37" s="75" t="inlineStr">
        <is>
          <t>Reserva</t>
        </is>
      </c>
      <c r="R37" s="75" t="inlineStr">
        <is>
          <t>Mantener como apoyo o diagnóstico diferencial.</t>
        </is>
      </c>
    </row>
    <row r="38" ht="32" customHeight="1" s="34">
      <c r="A38" s="74" t="inlineStr">
        <is>
          <t>B0048</t>
        </is>
      </c>
      <c r="B38" s="74" t="inlineStr">
        <is>
          <t>PDF local</t>
        </is>
      </c>
      <c r="C38" s="74" t="inlineStr">
        <is>
          <t>Colletotrichum fructicola Causes Necrotic Leaf Lesions in Avocado (Persea americana) in Amazonas, Peru: First Record and In Vitro Control Using Piper Essential Oils</t>
        </is>
      </c>
      <c r="D38" s="74" t="n">
        <v>2025</v>
      </c>
      <c r="E38" s="74" t="inlineStr"/>
      <c r="F38" s="74" t="inlineStr"/>
      <c r="G38" s="74" t="inlineStr">
        <is>
          <t>Artículo PDF</t>
        </is>
      </c>
      <c r="H38" s="74" t="inlineStr">
        <is>
          <t>Aporta a Tizón de la hoja.</t>
        </is>
      </c>
      <c r="I38" s="74" t="inlineStr">
        <is>
          <t>Relacionado con el objetivo por enfermedad/plaga foliar, síntomas visuales o método IA/UAV aplicable.</t>
        </is>
      </c>
      <c r="J38" s="74" t="inlineStr">
        <is>
          <t>No</t>
        </is>
      </c>
      <c r="K38" s="74" t="inlineStr">
        <is>
          <t>Parcial</t>
        </is>
      </c>
      <c r="L38" s="74" t="inlineStr">
        <is>
          <t>No</t>
        </is>
      </c>
      <c r="M38" s="74" t="inlineStr">
        <is>
          <t>Sí</t>
        </is>
      </c>
      <c r="N38" s="74" t="inlineStr">
        <is>
          <t>Sí</t>
        </is>
      </c>
      <c r="O38" s="74" t="inlineStr">
        <is>
          <t>Alta</t>
        </is>
      </c>
      <c r="P38" s="74" t="inlineStr">
        <is>
          <t>Alta calidad</t>
        </is>
      </c>
      <c r="Q38" s="74" t="inlineStr">
        <is>
          <t>Incluir</t>
        </is>
      </c>
      <c r="R38" s="74" t="inlineStr">
        <is>
          <t>Usar en marco teórico principal.</t>
        </is>
      </c>
    </row>
    <row r="39" s="34"/>
    <row r="40" s="34"/>
    <row r="41" s="34"/>
    <row r="42" s="34"/>
    <row r="43" s="34"/>
    <row r="44" s="34"/>
    <row r="45" s="34"/>
    <row r="46" s="34"/>
    <row r="47" s="34"/>
    <row r="48" s="34"/>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autoFilter ref="A3:R38"/>
  <mergeCells count="2">
    <mergeCell ref="A2:R2"/>
    <mergeCell ref="A1:R1"/>
  </mergeCells>
  <dataValidations count="3">
    <dataValidation sqref="O4:O300" showDropDown="0" showInputMessage="0" showErrorMessage="0" allowBlank="1" type="list">
      <formula1>"Alto,Medio,Bajo"</formula1>
    </dataValidation>
    <dataValidation sqref="P4:P300" showDropDown="0" showInputMessage="0" showErrorMessage="0" allowBlank="1" type="list">
      <formula1>"Alta calidad,Media calidad,Baja calidad"</formula1>
    </dataValidation>
    <dataValidation sqref="Q4:Q300" showDropDown="0" showInputMessage="0" showErrorMessage="0" allowBlank="1" type="list">
      <formula1>"Incluir,Reserva"</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7"/>
  <sheetViews>
    <sheetView showGridLines="0" topLeftCell="A1" workbookViewId="0">
      <selection activeCell="A1" sqref="A1"/>
    </sheetView>
  </sheetViews>
  <sheetFormatPr baseColWidth="10" defaultRowHeight="14.4"/>
  <cols>
    <col width="30" customWidth="1" style="34" min="1" max="1"/>
    <col width="55" customWidth="1" style="34" min="2" max="2"/>
    <col width="28" customWidth="1" style="34" min="3" max="3"/>
    <col width="28" customWidth="1" style="34" min="4" max="4"/>
    <col width="28" customWidth="1" style="34" min="5" max="5"/>
    <col width="34" customWidth="1" style="34" min="6" max="6"/>
  </cols>
  <sheetData>
    <row r="1" ht="24" customHeight="1" s="34" thickBot="1">
      <c r="A1" s="73" t="inlineStr">
        <is>
          <t>Autor</t>
        </is>
      </c>
      <c r="B1" s="73" t="inlineStr">
        <is>
          <t>Estudio</t>
        </is>
      </c>
      <c r="C1" s="73" t="inlineStr">
        <is>
          <t>Técnica IA</t>
        </is>
      </c>
      <c r="D1" s="73" t="inlineStr">
        <is>
          <t>Método HCI</t>
        </is>
      </c>
      <c r="E1" s="73" t="inlineStr">
        <is>
          <t>Plataforma móvil</t>
        </is>
      </c>
      <c r="F1" s="73" t="inlineStr">
        <is>
          <t>Evaluación UX</t>
        </is>
      </c>
    </row>
    <row r="2" ht="32" customHeight="1" s="34">
      <c r="A2" s="74" t="inlineStr">
        <is>
          <t xml:space="preserve"> (2026)</t>
        </is>
      </c>
      <c r="B2" s="74" t="inlineStr">
        <is>
          <t>Silica-based nanomaterials for the control of Trioza anceps: Laboratory bioassays and preliminary field observations</t>
        </is>
      </c>
      <c r="C2" s="74" t="inlineStr">
        <is>
          <t>No aplica</t>
        </is>
      </c>
      <c r="D2" s="74" t="inlineStr">
        <is>
          <t>Por definir</t>
        </is>
      </c>
      <c r="E2" s="74" t="inlineStr">
        <is>
          <t>Android/app móvil por definir</t>
        </is>
      </c>
      <c r="F2" s="74" t="inlineStr">
        <is>
          <t>Pendiente: SUS o prueba con usuarios</t>
        </is>
      </c>
    </row>
    <row r="3" ht="32" customHeight="1" s="34">
      <c r="A3" s="75" t="inlineStr">
        <is>
          <t xml:space="preserve"> (s.f.)</t>
        </is>
      </c>
      <c r="B3" s="75" t="inlineStr">
        <is>
          <t>Unified Approach for Avocado Leaf Disease Classification CNN-SVM Fusion</t>
        </is>
      </c>
      <c r="C3" s="75" t="inlineStr">
        <is>
          <t>IA/UAV/CV</t>
        </is>
      </c>
      <c r="D3" s="75" t="inlineStr">
        <is>
          <t>Por definir</t>
        </is>
      </c>
      <c r="E3" s="75" t="inlineStr">
        <is>
          <t>Android/app móvil por definir</t>
        </is>
      </c>
      <c r="F3" s="75" t="inlineStr">
        <is>
          <t>Pendiente: SUS o prueba con usuarios</t>
        </is>
      </c>
    </row>
    <row r="4" ht="32" customHeight="1" s="34">
      <c r="A4" s="74" t="inlineStr">
        <is>
          <t>Fan Z.; Lu Y.; Wang W.; Lin C. (2023)</t>
        </is>
      </c>
      <c r="B4" s="74" t="inlineStr">
        <is>
          <t>Identification of pathogen species of avocado leaf anthracnose in Chongzuo, Guangxi; [广西崇左油梨叶部炭疽病病原菌分离与鉴定]</t>
        </is>
      </c>
      <c r="C4" s="74" t="inlineStr">
        <is>
          <t>No aplica</t>
        </is>
      </c>
      <c r="D4" s="74" t="inlineStr">
        <is>
          <t>Por definir</t>
        </is>
      </c>
      <c r="E4" s="74" t="inlineStr">
        <is>
          <t>Android/app móvil por definir</t>
        </is>
      </c>
      <c r="F4" s="74" t="inlineStr">
        <is>
          <t>Pendiente: SUS o prueba con usuarios</t>
        </is>
      </c>
    </row>
    <row r="5" ht="32" customHeight="1" s="34" thickBot="1">
      <c r="A5" s="75" t="inlineStr">
        <is>
          <t>Mir, Banerjee, Chauhan, Pokhariya y Kumar, 2024 (2024)</t>
        </is>
      </c>
      <c r="B5" s="75" t="inlineStr">
        <is>
          <t>Unified Approach for Avocado Leaf Disease Classification: CNN-SVM Fusion</t>
        </is>
      </c>
      <c r="C5" s="75" t="inlineStr">
        <is>
          <t>IA/UAV/CV</t>
        </is>
      </c>
      <c r="D5" s="75" t="inlineStr">
        <is>
          <t>Por definir</t>
        </is>
      </c>
      <c r="E5" s="75" t="inlineStr">
        <is>
          <t>Android/app móvil por definir</t>
        </is>
      </c>
      <c r="F5" s="75" t="inlineStr">
        <is>
          <t>Pendiente: SUS o prueba con usuarios</t>
        </is>
      </c>
    </row>
    <row r="6" ht="32" customHeight="1" s="34">
      <c r="A6" s="74" t="inlineStr">
        <is>
          <t>Karthik R.P.; Rithika K.V.; Ramana M.; Rakshith S. (2025)</t>
        </is>
      </c>
      <c r="B6" s="74" t="inlineStr">
        <is>
          <t>Real-Time Avocado Plant Health and Disease Detection Using UAV Imagery with Faster R-CNN Algorithm</t>
        </is>
      </c>
      <c r="C6" s="74" t="inlineStr">
        <is>
          <t>IA/UAV/CV</t>
        </is>
      </c>
      <c r="D6" s="74" t="inlineStr">
        <is>
          <t>Por definir</t>
        </is>
      </c>
      <c r="E6" s="74" t="inlineStr">
        <is>
          <t>Android/app móvil por definir</t>
        </is>
      </c>
      <c r="F6" s="74" t="inlineStr">
        <is>
          <t>Pendiente: SUS o prueba con usuarios</t>
        </is>
      </c>
    </row>
    <row r="7" ht="32" customHeight="1" s="34">
      <c r="A7" s="75" t="inlineStr">
        <is>
          <t xml:space="preserve"> (2026)</t>
        </is>
      </c>
      <c r="B7" s="75" t="inlineStr">
        <is>
          <t>Burkholderia contaminans siderophore‑rich supernatants suppress post‑harvest anthracnose in avocado fruits Coyolxauhqui Barrera‑Galicia1 · Sergio A</t>
        </is>
      </c>
      <c r="C7" s="75" t="inlineStr">
        <is>
          <t>No aplica</t>
        </is>
      </c>
      <c r="D7" s="75" t="inlineStr">
        <is>
          <t>Por definir</t>
        </is>
      </c>
      <c r="E7" s="75" t="inlineStr">
        <is>
          <t>Android/app móvil por definir</t>
        </is>
      </c>
      <c r="F7" s="75" t="inlineStr">
        <is>
          <t>Pendiente: SUS o prueba con usuarios</t>
        </is>
      </c>
    </row>
    <row r="8" ht="32" customHeight="1" s="34">
      <c r="A8" s="74" t="inlineStr">
        <is>
          <t>Linaldeddu B.T.; Bregant C.; Muscas J.; Maddau L.; Vecchio L.; Polizzi G.; Aiello D. (2026)</t>
        </is>
      </c>
      <c r="B8" s="74" t="inlineStr">
        <is>
          <t>Identification and Pathogenicity of Botryosphaeriaceae, Colletotrichum, and Phytophthora Species Associated with Avocado Diseases in Italy</t>
        </is>
      </c>
      <c r="C8" s="74" t="inlineStr">
        <is>
          <t>No aplica</t>
        </is>
      </c>
      <c r="D8" s="74" t="inlineStr">
        <is>
          <t>Por definir</t>
        </is>
      </c>
      <c r="E8" s="74" t="inlineStr">
        <is>
          <t>Android/app móvil por definir</t>
        </is>
      </c>
      <c r="F8" s="74" t="inlineStr">
        <is>
          <t>Pendiente: SUS o prueba con usuarios</t>
        </is>
      </c>
    </row>
    <row r="9" ht="32" customHeight="1" s="34">
      <c r="A9" s="75" t="inlineStr">
        <is>
          <t xml:space="preserve"> (2026)</t>
        </is>
      </c>
      <c r="B9" s="75" t="inlineStr">
        <is>
          <t>s41598-026-50025-z</t>
        </is>
      </c>
      <c r="C9" s="75" t="inlineStr">
        <is>
          <t>IA/UAV/CV</t>
        </is>
      </c>
      <c r="D9" s="75" t="inlineStr">
        <is>
          <t>Por definir</t>
        </is>
      </c>
      <c r="E9" s="75" t="inlineStr">
        <is>
          <t>Android/app móvil por definir</t>
        </is>
      </c>
      <c r="F9" s="75" t="inlineStr">
        <is>
          <t>Pendiente: SUS o prueba con usuarios</t>
        </is>
      </c>
    </row>
    <row r="10" ht="32" customHeight="1" s="34" thickBot="1">
      <c r="A10" s="74" t="inlineStr">
        <is>
          <t xml:space="preserve"> (2026)</t>
        </is>
      </c>
      <c r="B10" s="74" t="inlineStr">
        <is>
          <t>Spatial Mapping of Avocado Anthracnose Severity Using UAV-Derived Vegetation Indices in Amazonas, Peru</t>
        </is>
      </c>
      <c r="C10" s="74" t="inlineStr">
        <is>
          <t>IA/UAV/CV</t>
        </is>
      </c>
      <c r="D10" s="74" t="inlineStr">
        <is>
          <t>Por definir</t>
        </is>
      </c>
      <c r="E10" s="74" t="inlineStr">
        <is>
          <t>Android/app móvil por definir</t>
        </is>
      </c>
      <c r="F10" s="74" t="inlineStr">
        <is>
          <t>Pendiente: SUS o prueba con usuarios</t>
        </is>
      </c>
    </row>
    <row r="11" ht="32" customHeight="1" s="34">
      <c r="A11" s="75" t="inlineStr">
        <is>
          <t>Guelac-Santillan M.; Puscan-Rojas J.; Sánchez-Vega J.A.; Huaman-Pilco A.F.; Medina-Medina A.J.; Tuesta-Trauco K.M.; Canta-Ventura J.M.; Barboza E.; Zabaleta-Santisteban J.A. (2026)</t>
        </is>
      </c>
      <c r="B11" s="75" t="inlineStr">
        <is>
          <t>Spatial Mapping of Avocado Anthracnose Severity Using UAV-Derived Vegetation Indices in Amazonas, Peru</t>
        </is>
      </c>
      <c r="C11" s="75" t="inlineStr">
        <is>
          <t>IA/UAV/CV</t>
        </is>
      </c>
      <c r="D11" s="75" t="inlineStr">
        <is>
          <t>Por definir</t>
        </is>
      </c>
      <c r="E11" s="75" t="inlineStr">
        <is>
          <t>Android/app móvil por definir</t>
        </is>
      </c>
      <c r="F11" s="75" t="inlineStr">
        <is>
          <t>Pendiente: SUS o prueba con usuarios</t>
        </is>
      </c>
    </row>
    <row r="12" ht="32" customHeight="1" s="34">
      <c r="A12" s="74" t="inlineStr">
        <is>
          <t xml:space="preserve"> (2022)</t>
        </is>
      </c>
      <c r="B12" s="74" t="inlineStr">
        <is>
          <t>05 Arana roja Oligonychus perseae Torres 2022</t>
        </is>
      </c>
      <c r="C12" s="74" t="inlineStr">
        <is>
          <t>No aplica</t>
        </is>
      </c>
      <c r="D12" s="74" t="inlineStr">
        <is>
          <t>Por definir</t>
        </is>
      </c>
      <c r="E12" s="74" t="inlineStr">
        <is>
          <t>Android/app móvil por definir</t>
        </is>
      </c>
      <c r="F12" s="74" t="inlineStr">
        <is>
          <t>Pendiente: SUS o prueba con usuarios</t>
        </is>
      </c>
    </row>
    <row r="13" ht="32" customHeight="1" s="34">
      <c r="A13" s="75" t="inlineStr">
        <is>
          <t>Báñez-Aldave H.W.; Cuesta-Herrera L.; López-Hernández J.; Andrades-Grassi J.; Torres-Mantilla H.A. (2023)</t>
        </is>
      </c>
      <c r="B13"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C13" s="75" t="inlineStr">
        <is>
          <t>No aplica</t>
        </is>
      </c>
      <c r="D13" s="75" t="inlineStr">
        <is>
          <t>Por definir</t>
        </is>
      </c>
      <c r="E13" s="75" t="inlineStr">
        <is>
          <t>Android/app móvil por definir</t>
        </is>
      </c>
      <c r="F13" s="75" t="inlineStr">
        <is>
          <t>Pendiente: SUS o prueba con usuarios</t>
        </is>
      </c>
    </row>
    <row r="14" ht="32" customHeight="1" s="34">
      <c r="A14" s="74" t="inlineStr">
        <is>
          <t>Lara-Vázquez F.; Ramírez-Dávila J.F.; Figueroa-Figueroa D.K.; Tapia-Rodríguez A.; González-Huerta A. (2023)</t>
        </is>
      </c>
      <c r="B14" s="74" t="inlineStr">
        <is>
          <t>Spatial modeling of red spider mite Oligonychus punicae (Acari: Tetranychidae) in avocado crop</t>
        </is>
      </c>
      <c r="C14" s="74" t="inlineStr">
        <is>
          <t>No aplica</t>
        </is>
      </c>
      <c r="D14" s="74" t="inlineStr">
        <is>
          <t>Por definir</t>
        </is>
      </c>
      <c r="E14" s="74" t="inlineStr">
        <is>
          <t>Android/app móvil por definir</t>
        </is>
      </c>
      <c r="F14" s="74" t="inlineStr">
        <is>
          <t>Pendiente: SUS o prueba con usuarios</t>
        </is>
      </c>
    </row>
    <row r="15" ht="32" customHeight="1" s="34">
      <c r="A15" s="75" t="inlineStr">
        <is>
          <t>Ouaznati S.M.; El Fakhouri K.; Belkadi B.; Douira A.; El Bouhssini M.; Touhami A.O. (2025)</t>
        </is>
      </c>
      <c r="B15" s="75" t="inlineStr">
        <is>
          <t>Biosecurity practices and exploratory survey for pests and diseases of avocados in the Gharb-Loukkos region, Morocco</t>
        </is>
      </c>
      <c r="C15" s="75" t="inlineStr">
        <is>
          <t>No aplica</t>
        </is>
      </c>
      <c r="D15" s="75" t="inlineStr">
        <is>
          <t>Por definir</t>
        </is>
      </c>
      <c r="E15" s="75" t="inlineStr">
        <is>
          <t>Android/app móvil por definir</t>
        </is>
      </c>
      <c r="F15" s="75" t="inlineStr">
        <is>
          <t>Pendiente: SUS o prueba con usuarios</t>
        </is>
      </c>
    </row>
    <row r="16" ht="32" customHeight="1" s="34">
      <c r="A16" s="74" t="inlineStr">
        <is>
          <t>Chellappan, Biju Vadakkemukadiyil (2024)</t>
        </is>
      </c>
      <c r="B16" s="74" t="inlineStr">
        <is>
          <t>Comparative secretome analysis unveils species-specific virulence factors in Elsinoe perseae, the causative agent of the scab disease of avocado (Persea americana)</t>
        </is>
      </c>
      <c r="C16" s="74" t="inlineStr">
        <is>
          <t>No aplica</t>
        </is>
      </c>
      <c r="D16" s="74" t="inlineStr">
        <is>
          <t>Por definir</t>
        </is>
      </c>
      <c r="E16" s="74" t="inlineStr">
        <is>
          <t>Android/app móvil por definir</t>
        </is>
      </c>
      <c r="F16" s="74" t="inlineStr">
        <is>
          <t>Pendiente: SUS o prueba con usuarios</t>
        </is>
      </c>
    </row>
    <row r="17" ht="32" customHeight="1" s="34" thickBot="1">
      <c r="A17" s="75" t="inlineStr">
        <is>
          <t xml:space="preserve"> (2025)</t>
        </is>
      </c>
      <c r="B17" s="75" t="inlineStr">
        <is>
          <t>Colletotrichum fructicola Causes Necrotic Leaf Lesions in Avocado (Persea americana) in Amazonas, Peru: First Record and In Vitro Control Using Piper Essential Oils</t>
        </is>
      </c>
      <c r="C17" s="75" t="inlineStr">
        <is>
          <t>No aplica</t>
        </is>
      </c>
      <c r="D17" s="75" t="inlineStr">
        <is>
          <t>Por definir</t>
        </is>
      </c>
      <c r="E17" s="75" t="inlineStr">
        <is>
          <t>Android/app móvil por definir</t>
        </is>
      </c>
      <c r="F17" s="75" t="inlineStr">
        <is>
          <t>Pendiente: SUS o prueba con usuarios</t>
        </is>
      </c>
    </row>
    <row r="18" ht="30.6" customHeight="1" s="34"/>
    <row r="19" ht="20.4" customHeight="1" s="34"/>
    <row r="20" ht="40.8" customHeight="1" s="34"/>
    <row r="21" ht="30.6" customHeight="1" s="34"/>
    <row r="22" ht="20.4" customHeight="1" s="34"/>
    <row r="23" ht="21" customHeight="1" s="34" thickBot="1"/>
    <row r="24" ht="30.6" customHeight="1" s="34"/>
    <row r="25" ht="71.40000000000001" customHeight="1" s="34"/>
    <row r="26" ht="30.6" customHeight="1" s="34"/>
    <row r="27" ht="30.6" customHeight="1" s="34"/>
    <row r="28" ht="31.2" customHeight="1" s="34" thickBot="1"/>
    <row r="29" ht="20.4" customHeight="1" s="34"/>
    <row r="30" ht="30.6" customHeight="1" s="34"/>
    <row r="31" ht="20.4" customHeight="1" s="34"/>
    <row r="32" ht="40.8" customHeight="1" s="34"/>
    <row r="33" ht="20.4" customHeight="1" s="34"/>
    <row r="34" ht="31.2" customHeight="1" s="34" thickBot="1"/>
    <row r="35" ht="40.8" customHeight="1" s="34"/>
    <row r="36" ht="40.8" customHeight="1" s="34"/>
    <row r="37" ht="40.8" customHeight="1" s="34"/>
    <row r="38" ht="30.6" customHeight="1" s="34"/>
    <row r="39" ht="30.6" customHeight="1" s="34"/>
    <row r="40" ht="30.6" customHeight="1" s="34"/>
    <row r="41" ht="31.2" customHeight="1" s="34" thickBot="1"/>
    <row r="42" ht="30.6" customHeight="1" s="34"/>
    <row r="43" ht="40.8" customHeight="1" s="34"/>
    <row r="44" ht="20.4" customHeight="1" s="34"/>
    <row r="45" ht="31.2" customHeight="1" s="34" thickBot="1"/>
    <row r="46" s="34"/>
    <row r="47" s="34"/>
    <row r="48" s="34"/>
    <row r="49" ht="28.8" customHeight="1" s="34"/>
    <row r="50" ht="225.6" customHeight="1" s="34"/>
    <row r="51" ht="409.6" customHeight="1" s="34"/>
    <row r="52" ht="28.8" customHeight="1" s="34"/>
    <row r="53" ht="409.6" customHeight="1"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autoFilter ref="A1:F17"/>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26"/>
  <sheetViews>
    <sheetView showGridLines="0" tabSelected="1" topLeftCell="A1" workbookViewId="0">
      <selection activeCell="A1" sqref="A1"/>
    </sheetView>
  </sheetViews>
  <sheetFormatPr baseColWidth="10" defaultColWidth="8.88671875" defaultRowHeight="14.4"/>
  <cols>
    <col width="34" customWidth="1" style="34" min="1" max="1"/>
    <col width="18" customWidth="1" style="34" min="2" max="2"/>
    <col width="46" customWidth="1" style="34" min="3" max="3"/>
    <col width="8" customWidth="1" style="34" min="4" max="4"/>
    <col width="22" customWidth="1" style="34" min="5" max="5"/>
    <col width="16" customWidth="1" style="34" min="6" max="6"/>
    <col width="16" customWidth="1" style="34" min="7" max="8"/>
    <col width="16" customWidth="1" style="34" min="8" max="8"/>
    <col width="8" customWidth="1" style="34" min="9" max="9"/>
    <col width="24" customWidth="1" style="34" min="10" max="10"/>
  </cols>
  <sheetData>
    <row r="1" ht="24" customHeight="1" s="34">
      <c r="A1" s="71" t="inlineStr">
        <is>
          <t>Resumen_ejecutivo</t>
        </is>
      </c>
    </row>
    <row r="2" ht="24" customHeight="1" s="34">
      <c r="A2" s="72" t="inlineStr">
        <is>
          <t>Resumen actualizado para V1.6 con base consolidada completa y filtro temporal 2021-2026.</t>
        </is>
      </c>
    </row>
    <row r="3" ht="24" customHeight="1" s="34">
      <c r="A3" s="73" t="inlineStr">
        <is>
          <t>Métrica</t>
        </is>
      </c>
      <c r="B3" s="73" t="inlineStr">
        <is>
          <t>Valor</t>
        </is>
      </c>
      <c r="C3" s="73" t="inlineStr">
        <is>
          <t>Definición</t>
        </is>
      </c>
      <c r="D3" s="73" t="inlineStr">
        <is>
          <t>Columna 4</t>
        </is>
      </c>
      <c r="E3" s="73" t="inlineStr">
        <is>
          <t>Base de datos</t>
        </is>
      </c>
      <c r="F3" s="73" t="inlineStr">
        <is>
          <t>Seleccionados</t>
        </is>
      </c>
      <c r="G3" s="73" t="inlineStr">
        <is>
          <t>Incluir</t>
        </is>
      </c>
      <c r="H3" s="73" t="inlineStr">
        <is>
          <t>Reserva</t>
        </is>
      </c>
      <c r="I3" s="73" t="inlineStr">
        <is>
          <t>Columna 9</t>
        </is>
      </c>
      <c r="J3" s="73" t="inlineStr">
        <is>
          <t>Duplicados y revisiones</t>
        </is>
      </c>
    </row>
    <row r="4" ht="32" customHeight="1" s="34">
      <c r="A4" s="74" t="inlineStr">
        <is>
          <t>Número total de artículos analizados</t>
        </is>
      </c>
      <c r="B4" s="78">
        <f>COUNTA(Base_consolidada!A:A)-3</f>
        <v/>
      </c>
      <c r="C4" s="74" t="inlineStr">
        <is>
          <t>Total consolidado de registros importados.</t>
        </is>
      </c>
      <c r="D4" s="74" t="n"/>
      <c r="E4" s="74" t="inlineStr">
        <is>
          <t>Scopus</t>
        </is>
      </c>
      <c r="F4" s="74">
        <f>COUNTIF(Articulos_finales!B:B,"Scopus")</f>
        <v/>
      </c>
      <c r="G4" s="74">
        <f>COUNTIFS(Articulos_finales!B:B,"Scopus",Articulos_finales!Q:Q,"Incluir")</f>
        <v/>
      </c>
      <c r="H4" s="74">
        <f>COUNTIFS(Articulos_finales!B:B,"Scopus",Articulos_finales!Q:Q,"Reserva")</f>
        <v/>
      </c>
      <c r="I4" s="74" t="n"/>
      <c r="J4" s="78">
        <f>B5+B6</f>
        <v/>
      </c>
    </row>
    <row r="5" ht="32" customHeight="1" s="34">
      <c r="A5" s="75" t="inlineStr">
        <is>
          <t>Número de duplicados encontrados</t>
        </is>
      </c>
      <c r="B5" s="79">
        <f>COUNTIF(Duplicados_y_exclusion!G:G,"Sí")</f>
        <v/>
      </c>
      <c r="C5" s="75" t="inlineStr">
        <is>
          <t>Registros repetidos respecto al estudio preferente.</t>
        </is>
      </c>
      <c r="D5" s="75" t="n"/>
      <c r="E5" s="75" t="inlineStr">
        <is>
          <t>IEEE Xplore</t>
        </is>
      </c>
      <c r="F5" s="75">
        <f>COUNTIF(Articulos_finales!B:B,"IEEE Xplore")</f>
        <v/>
      </c>
      <c r="G5" s="75">
        <f>COUNTIFS(Articulos_finales!B:B,"IEEE Xplore",Articulos_finales!Q:Q,"Incluir")</f>
        <v/>
      </c>
      <c r="H5" s="75">
        <f>COUNTIFS(Articulos_finales!B:B,"IEEE Xplore",Articulos_finales!Q:Q,"Reserva")</f>
        <v/>
      </c>
      <c r="I5" s="75" t="n"/>
      <c r="J5" s="75" t="n"/>
    </row>
    <row r="6" ht="32" customHeight="1" s="34">
      <c r="A6" s="74" t="inlineStr">
        <is>
          <t>Número de revisiones/surveys/mapping/meta-análisis excluidos</t>
        </is>
      </c>
      <c r="B6" s="78">
        <f>COUNTIF(Duplicados_y_exclusion!E:E,"Revisión")</f>
        <v/>
      </c>
      <c r="C6" s="74" t="inlineStr">
        <is>
          <t>Exclusiones por ser estudios de revisión.</t>
        </is>
      </c>
      <c r="D6" s="74" t="n"/>
      <c r="E6" s="74" t="inlineStr">
        <is>
          <t>Web of Science</t>
        </is>
      </c>
      <c r="F6" s="74">
        <f>COUNTIF(Articulos_finales!B:B,"Web of Science")</f>
        <v/>
      </c>
      <c r="G6" s="74">
        <f>COUNTIFS(Articulos_finales!B:B,"Web of Science",Articulos_finales!Q:Q,"Incluir")</f>
        <v/>
      </c>
      <c r="H6" s="74">
        <f>COUNTIFS(Articulos_finales!B:B,"Web of Science",Articulos_finales!Q:Q,"Reserva")</f>
        <v/>
      </c>
      <c r="I6" s="74" t="n"/>
      <c r="J6" s="74" t="n"/>
    </row>
    <row r="7" ht="32" customHeight="1" s="34">
      <c r="A7" s="75" t="inlineStr">
        <is>
          <t>Número de estudios primarios detectados</t>
        </is>
      </c>
      <c r="B7" s="79">
        <f>COUNTIF(Articulos_finales!Q:Q,"Incluir")</f>
        <v/>
      </c>
      <c r="C7" s="75" t="inlineStr">
        <is>
          <t>Detección automática por título/abstract/keywords disponibles.</t>
        </is>
      </c>
      <c r="D7" s="75" t="n"/>
      <c r="E7" s="75" t="inlineStr">
        <is>
          <t>Springer</t>
        </is>
      </c>
      <c r="F7" s="75">
        <f>COUNTIF(Articulos_finales!B:B,"Springer")</f>
        <v/>
      </c>
      <c r="G7" s="75">
        <f>COUNTIFS(Articulos_finales!B:B,"Springer",Articulos_finales!Q:Q,"Incluir")</f>
        <v/>
      </c>
      <c r="H7" s="75">
        <f>COUNTIFS(Articulos_finales!B:B,"Springer",Articulos_finales!Q:Q,"Reserva")</f>
        <v/>
      </c>
      <c r="I7" s="75" t="n"/>
      <c r="J7" s="75" t="n"/>
    </row>
    <row r="8" ht="32" customHeight="1" s="34">
      <c r="A8" s="74" t="inlineStr">
        <is>
          <t>Número de artículos que pasaron el tamizaje</t>
        </is>
      </c>
      <c r="B8" s="78">
        <f>COUNTIF(Articulos_finales!Q:Q,"Reserva")</f>
        <v/>
      </c>
      <c r="C8" s="74" t="inlineStr">
        <is>
          <t>Registros mantenidos con alineación media o alta.</t>
        </is>
      </c>
      <c r="D8" s="74" t="n"/>
      <c r="E8" s="74" t="inlineStr">
        <is>
          <t>Science Direct</t>
        </is>
      </c>
      <c r="F8" s="74">
        <f>COUNTIF(Articulos_finales!B:B,"Science Direct")</f>
        <v/>
      </c>
      <c r="G8" s="74">
        <f>COUNTIFS(Articulos_finales!B:B,"Science Direct",Articulos_finales!Q:Q,"Incluir")</f>
        <v/>
      </c>
      <c r="H8" s="74">
        <f>COUNTIFS(Articulos_finales!B:B,"Science Direct",Articulos_finales!Q:Q,"Reserva")</f>
        <v/>
      </c>
      <c r="I8" s="74" t="n"/>
      <c r="J8" s="74" t="n"/>
    </row>
    <row r="9" ht="32" customHeight="1" s="34">
      <c r="A9" s="75" t="inlineStr">
        <is>
          <t>Número de artículos de alta calidad</t>
        </is>
      </c>
      <c r="B9" s="79">
        <f>COUNTIF(Calidad_articulos!O:O,"Alta calidad")</f>
        <v/>
      </c>
      <c r="C9" s="75" t="inlineStr">
        <is>
          <t>Artículos con 16 a 20 puntos.</t>
        </is>
      </c>
      <c r="D9" s="75" t="n"/>
      <c r="E9" s="75" t="n"/>
      <c r="F9" s="75" t="n"/>
      <c r="G9" s="75" t="n"/>
      <c r="H9" s="75" t="n"/>
      <c r="I9" s="75" t="n"/>
      <c r="J9" s="75" t="n"/>
    </row>
    <row r="10" ht="32" customHeight="1" s="34">
      <c r="A10" s="74" t="inlineStr">
        <is>
          <t>Filtro temporal</t>
        </is>
      </c>
      <c r="B10" s="78" t="inlineStr">
        <is>
          <t>2021-2026</t>
        </is>
      </c>
      <c r="C10" s="74" t="inlineStr">
        <is>
          <t>Artículos incluidos o en reserva en la selección final.</t>
        </is>
      </c>
      <c r="D10" s="74" t="n"/>
      <c r="E10" s="74" t="n"/>
      <c r="F10" s="74" t="n"/>
      <c r="G10" s="74" t="n"/>
      <c r="H10" s="74" t="n"/>
      <c r="I10" s="74" t="n"/>
      <c r="J10" s="74" t="n"/>
    </row>
    <row r="11" ht="32" customHeight="1" s="34">
      <c r="A11" s="75" t="n"/>
      <c r="B11" s="75" t="n"/>
      <c r="C11" s="75" t="n"/>
      <c r="D11" s="75" t="n"/>
      <c r="E11" s="75" t="n"/>
      <c r="F11" s="75" t="n"/>
      <c r="G11" s="75" t="n"/>
      <c r="H11" s="75" t="n"/>
      <c r="I11" s="75" t="n"/>
      <c r="J11" s="75" t="n"/>
    </row>
    <row r="12" ht="32" customHeight="1" s="34">
      <c r="A12" s="74" t="inlineStr">
        <is>
          <t>Principales patrones encontrados</t>
        </is>
      </c>
      <c r="B12" s="74" t="n"/>
      <c r="C12" s="74" t="n"/>
      <c r="D12" s="74" t="n"/>
      <c r="E12" s="74" t="n"/>
      <c r="F12" s="74" t="n"/>
      <c r="G12" s="74" t="n"/>
      <c r="H12" s="74" t="n"/>
      <c r="I12" s="74" t="n"/>
      <c r="J12" s="74" t="n"/>
    </row>
    <row r="13" ht="32" customHeight="1" s="34">
      <c r="A13" s="75" t="inlineStr">
        <is>
          <t>(Completa al final: principales patrones que encontraste en los artículos.)</t>
        </is>
      </c>
      <c r="B13" s="75" t="n"/>
      <c r="C13" s="75" t="n"/>
      <c r="D13" s="75" t="n"/>
      <c r="E13" s="75" t="n"/>
      <c r="F13" s="75" t="n"/>
      <c r="G13" s="75" t="n"/>
      <c r="H13" s="75" t="n"/>
      <c r="I13" s="75" t="n"/>
      <c r="J13" s="75" t="n"/>
    </row>
    <row r="14" ht="32" customHeight="1" s="34">
      <c r="A14" s="74" t="n"/>
      <c r="B14" s="74" t="n"/>
      <c r="C14" s="74" t="n"/>
      <c r="D14" s="74" t="n"/>
      <c r="E14" s="74" t="n"/>
      <c r="F14" s="74" t="n"/>
      <c r="G14" s="74" t="n"/>
      <c r="H14" s="74" t="n"/>
      <c r="I14" s="74" t="n"/>
      <c r="J14" s="74" t="n"/>
    </row>
    <row r="15" ht="32" customHeight="1" s="34">
      <c r="A15" s="75" t="inlineStr">
        <is>
          <t>Principales técnicas de IA identificadas</t>
        </is>
      </c>
      <c r="B15" s="75" t="n"/>
      <c r="C15" s="75" t="n"/>
      <c r="D15" s="75" t="n"/>
      <c r="E15" s="75" t="n"/>
      <c r="F15" s="75" t="n"/>
      <c r="G15" s="75" t="n"/>
      <c r="H15" s="75" t="n"/>
      <c r="I15" s="75" t="n"/>
      <c r="J15" s="75" t="n"/>
    </row>
    <row r="16" ht="32" customHeight="1" s="34">
      <c r="A16" s="74" t="inlineStr">
        <is>
          <t>(Completa: principales grupos/patógenos y métodos de detección identificados.)</t>
        </is>
      </c>
      <c r="B16" s="74" t="n"/>
      <c r="C16" s="74" t="n"/>
      <c r="D16" s="74" t="n"/>
      <c r="E16" s="74" t="n"/>
      <c r="F16" s="74" t="n"/>
      <c r="G16" s="74" t="n"/>
      <c r="H16" s="74" t="n"/>
      <c r="I16" s="74" t="n"/>
      <c r="J16" s="74" t="n"/>
    </row>
    <row r="17" ht="32" customHeight="1" s="34">
      <c r="A17" s="75" t="n"/>
      <c r="B17" s="75" t="n"/>
      <c r="C17" s="75" t="n"/>
      <c r="D17" s="75" t="n"/>
      <c r="E17" s="75" t="n"/>
      <c r="F17" s="75" t="n"/>
      <c r="G17" s="75" t="n"/>
      <c r="H17" s="75" t="n"/>
      <c r="I17" s="75" t="n"/>
      <c r="J17" s="75" t="n"/>
    </row>
    <row r="18" ht="32" customHeight="1" s="34">
      <c r="A18" s="74" t="inlineStr">
        <is>
          <t>Principales enfoques de HCI/UX identificados</t>
        </is>
      </c>
      <c r="B18" s="74" t="n"/>
      <c r="C18" s="74" t="n"/>
      <c r="D18" s="74" t="n"/>
      <c r="E18" s="74" t="n"/>
      <c r="F18" s="74" t="n"/>
      <c r="G18" s="74" t="n"/>
      <c r="H18" s="74" t="n"/>
      <c r="I18" s="74" t="n"/>
      <c r="J18" s="74" t="n"/>
    </row>
    <row r="19" ht="32" customHeight="1" s="34">
      <c r="A19" s="75" t="inlineStr">
        <is>
          <t>(Completa: principales síntomas/enfermedades del tallo identificados.)</t>
        </is>
      </c>
      <c r="B19" s="75" t="n"/>
      <c r="C19" s="75" t="n"/>
      <c r="D19" s="75" t="n"/>
      <c r="E19" s="75" t="n"/>
      <c r="F19" s="75" t="n"/>
      <c r="G19" s="75" t="n"/>
      <c r="H19" s="75" t="n"/>
      <c r="I19" s="75" t="n"/>
      <c r="J19" s="75" t="n"/>
    </row>
    <row r="20" ht="32" customHeight="1" s="34">
      <c r="A20" s="74" t="n"/>
      <c r="B20" s="74" t="n"/>
      <c r="C20" s="74" t="n"/>
      <c r="D20" s="74" t="n"/>
      <c r="E20" s="74" t="n"/>
      <c r="F20" s="74" t="n"/>
      <c r="G20" s="74" t="n"/>
      <c r="H20" s="74" t="n"/>
      <c r="I20" s="74" t="n"/>
      <c r="J20" s="74" t="n"/>
    </row>
    <row r="21" ht="32" customHeight="1" s="34">
      <c r="A21" s="75" t="inlineStr">
        <is>
          <t>Vacíos detectados en la literatura</t>
        </is>
      </c>
      <c r="B21" s="75" t="n"/>
      <c r="C21" s="75" t="n"/>
      <c r="D21" s="75" t="n"/>
      <c r="E21" s="75" t="n"/>
      <c r="F21" s="75" t="n"/>
      <c r="G21" s="75" t="n"/>
      <c r="H21" s="75" t="n"/>
      <c r="I21" s="75" t="n"/>
      <c r="J21" s="75" t="n"/>
    </row>
    <row r="22" ht="32" customHeight="1" s="34">
      <c r="A22" s="74" t="inlineStr">
        <is>
          <t>(Completa: vacíos que detectaste en la literatura.)</t>
        </is>
      </c>
      <c r="B22" s="74" t="n"/>
      <c r="C22" s="74" t="n"/>
      <c r="D22" s="74" t="n"/>
      <c r="E22" s="74" t="n"/>
      <c r="F22" s="74" t="n"/>
      <c r="G22" s="74" t="n"/>
      <c r="H22" s="74" t="n"/>
      <c r="I22" s="74" t="n"/>
      <c r="J22" s="74" t="n"/>
    </row>
    <row r="23" ht="32" customHeight="1" s="34">
      <c r="A23" s="75" t="n"/>
      <c r="B23" s="75" t="n"/>
      <c r="C23" s="75" t="n"/>
      <c r="D23" s="75" t="n"/>
      <c r="E23" s="75" t="n"/>
      <c r="F23" s="75" t="n"/>
      <c r="G23" s="75" t="n"/>
      <c r="H23" s="75" t="n"/>
      <c r="I23" s="75" t="n"/>
      <c r="J23" s="75" t="n"/>
    </row>
    <row r="24" ht="32" customHeight="1" s="34">
      <c r="A24" s="74" t="inlineStr">
        <is>
          <t>Recomendación final</t>
        </is>
      </c>
      <c r="B24" s="74" t="n"/>
      <c r="C24" s="74" t="n"/>
      <c r="D24" s="74" t="n"/>
      <c r="E24" s="74" t="n"/>
      <c r="F24" s="74" t="n"/>
      <c r="G24" s="74" t="n"/>
      <c r="H24" s="74" t="n"/>
      <c r="I24" s="74" t="n"/>
      <c r="J24" s="74" t="n"/>
    </row>
    <row r="25" ht="32" customHeight="1" s="34">
      <c r="A25" s="75" t="inlineStr">
        <is>
          <t>(Completa: tu recomendación final.)</t>
        </is>
      </c>
      <c r="B25" s="75" t="n"/>
      <c r="C25" s="75" t="n"/>
      <c r="D25" s="75" t="n"/>
      <c r="E25" s="75" t="n"/>
      <c r="F25" s="75" t="n"/>
      <c r="G25" s="75" t="n"/>
      <c r="H25" s="75" t="n"/>
      <c r="I25" s="75" t="n"/>
      <c r="J25" s="75" t="n"/>
    </row>
    <row r="26" ht="32" customHeight="1" s="34">
      <c r="A26" s="74" t="n"/>
      <c r="B26" s="74" t="n"/>
      <c r="C26" s="74" t="n"/>
      <c r="D26" s="74" t="n"/>
      <c r="E26" s="74" t="n"/>
      <c r="F26" s="74" t="n"/>
      <c r="G26" s="74" t="n"/>
      <c r="H26" s="74" t="n"/>
      <c r="I26" s="74" t="n"/>
      <c r="J26" s="74" t="n"/>
    </row>
    <row r="27" s="34"/>
    <row r="28" s="34"/>
    <row r="29" s="34"/>
    <row r="30" s="34"/>
    <row r="31" s="34"/>
    <row r="32" s="34"/>
    <row r="33" s="34"/>
    <row r="34" s="34"/>
    <row r="35" s="34"/>
    <row r="36" s="34"/>
    <row r="37" s="34"/>
    <row r="38" s="34"/>
    <row r="39" s="34"/>
    <row r="40" s="34"/>
    <row r="41" s="34"/>
    <row r="42" s="34"/>
    <row r="43" s="34"/>
    <row r="44" s="34"/>
    <row r="45" s="34"/>
    <row r="46" s="34"/>
    <row r="47" s="34"/>
    <row r="48" s="34"/>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autoFilter ref="A3:J26"/>
  <mergeCells count="11">
    <mergeCell ref="A22:H23"/>
    <mergeCell ref="A24:B24"/>
    <mergeCell ref="A25:H26"/>
    <mergeCell ref="A13:H14"/>
    <mergeCell ref="A15:B15"/>
    <mergeCell ref="A21:B21"/>
    <mergeCell ref="A16:H17"/>
    <mergeCell ref="A19:H20"/>
    <mergeCell ref="A1:H1"/>
    <mergeCell ref="A18:B18"/>
    <mergeCell ref="A12:B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2026-09-16T15:40:04Z</dcterms:created>
  <dcterms:modified xmlns:dcterms="http://purl.org/dc/terms/" xmlns:xsi="http://www.w3.org/2001/XMLSchema-instance" xsi:type="dcterms:W3CDTF">2026-09-21T17:13:25Z</dcterms:modified>
  <cp:lastModifiedBy>ARIEL JOSE LLUMIQUINGA �ACATO</cp:lastModifiedBy>
</cp:coreProperties>
</file>