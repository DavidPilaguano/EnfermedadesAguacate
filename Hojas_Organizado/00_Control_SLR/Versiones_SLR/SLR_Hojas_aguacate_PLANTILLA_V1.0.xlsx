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dre\Downloads\metodologia\tallos\"/>
    </mc:Choice>
  </mc:AlternateContent>
  <xr:revisionPtr revIDLastSave="0" documentId="13_ncr:1_{30AF8146-A1BD-48AF-911B-B707D6A1C42E}" xr6:coauthVersionLast="47" xr6:coauthVersionMax="47" xr10:uidLastSave="{00000000-0000-0000-0000-000000000000}"/>
  <bookViews>
    <workbookView xWindow="-108" yWindow="-108" windowWidth="23256" windowHeight="12456" firstSheet="4" activeTab="8" xr2:uid="{00000000-000D-0000-FFFF-FFFF00000000}"/>
  </bookViews>
  <sheets>
    <sheet name="Protocolo" sheetId="1" r:id="rId1"/>
    <sheet name="Cadenas_de_busqueda" sheetId="2" r:id="rId2"/>
    <sheet name="Base_consolidada" sheetId="3" r:id="rId3"/>
    <sheet name="Duplicados_y_exclusion" sheetId="4" r:id="rId4"/>
    <sheet name="Tamizaje_Tit_Abs_Keys" sheetId="5" r:id="rId5"/>
    <sheet name="Calidad_articulos" sheetId="6" r:id="rId6"/>
    <sheet name="Articulos_finales" sheetId="7" r:id="rId7"/>
    <sheet name="Articulos_finales_ok" sheetId="8" r:id="rId8"/>
    <sheet name="Resumen_ejecutivo" sheetId="9" r:id="rId9"/>
  </sheets>
  <definedNames>
    <definedName name="_xlnm._FilterDatabase" localSheetId="6" hidden="1">Articulos_finales!$A$3:$R$32</definedName>
    <definedName name="_xlnm._FilterDatabase" localSheetId="2" hidden="1">Base_consolidada!$A$3:$L$591</definedName>
    <definedName name="_xlnm._FilterDatabase" localSheetId="5" hidden="1">Calidad_articulos!$A$3:$P$201</definedName>
    <definedName name="_xlnm._FilterDatabase" localSheetId="3" hidden="1">Duplicados_y_exclusion!$A$3:$I$591</definedName>
    <definedName name="_xlnm._FilterDatabase" localSheetId="4" hidden="1">Tamizaje_Tit_Abs_Keys!$A$3:$N$201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9" l="1"/>
  <c r="H8" i="9"/>
  <c r="G8" i="9"/>
  <c r="F8" i="9"/>
  <c r="B8" i="9"/>
  <c r="H7" i="9"/>
  <c r="G7" i="9"/>
  <c r="F7" i="9"/>
  <c r="B7" i="9"/>
  <c r="H6" i="9"/>
  <c r="G6" i="9"/>
  <c r="F6" i="9"/>
  <c r="B6" i="9"/>
  <c r="H5" i="9"/>
  <c r="G5" i="9"/>
  <c r="F5" i="9"/>
  <c r="B5" i="9"/>
  <c r="J4" i="9"/>
  <c r="H4" i="9"/>
  <c r="G4" i="9"/>
  <c r="F4" i="9"/>
  <c r="B4" i="9"/>
  <c r="O303" i="6"/>
  <c r="N303" i="6"/>
  <c r="N302" i="6"/>
  <c r="O302" i="6" s="1"/>
  <c r="O301" i="6"/>
  <c r="N301" i="6"/>
  <c r="N300" i="6"/>
  <c r="O300" i="6" s="1"/>
  <c r="N299" i="6"/>
  <c r="O299" i="6" s="1"/>
  <c r="N298" i="6"/>
  <c r="O298" i="6" s="1"/>
  <c r="O297" i="6"/>
  <c r="N297" i="6"/>
  <c r="N296" i="6"/>
  <c r="O296" i="6" s="1"/>
  <c r="O295" i="6"/>
  <c r="N295" i="6"/>
  <c r="N294" i="6"/>
  <c r="O294" i="6" s="1"/>
  <c r="N293" i="6"/>
  <c r="O293" i="6" s="1"/>
  <c r="N292" i="6"/>
  <c r="O292" i="6" s="1"/>
  <c r="O291" i="6"/>
  <c r="N291" i="6"/>
  <c r="N290" i="6"/>
  <c r="O290" i="6" s="1"/>
  <c r="O289" i="6"/>
  <c r="N289" i="6"/>
  <c r="N288" i="6"/>
  <c r="O288" i="6" s="1"/>
  <c r="N287" i="6"/>
  <c r="O287" i="6" s="1"/>
  <c r="N286" i="6"/>
  <c r="O286" i="6" s="1"/>
  <c r="O285" i="6"/>
  <c r="N285" i="6"/>
  <c r="N284" i="6"/>
  <c r="O284" i="6" s="1"/>
  <c r="O283" i="6"/>
  <c r="N283" i="6"/>
  <c r="N282" i="6"/>
  <c r="O282" i="6" s="1"/>
  <c r="N281" i="6"/>
  <c r="O281" i="6" s="1"/>
  <c r="N280" i="6"/>
  <c r="O280" i="6" s="1"/>
  <c r="O279" i="6"/>
  <c r="N279" i="6"/>
  <c r="N278" i="6"/>
  <c r="O278" i="6" s="1"/>
  <c r="O277" i="6"/>
  <c r="N277" i="6"/>
  <c r="N276" i="6"/>
  <c r="O276" i="6" s="1"/>
  <c r="N275" i="6"/>
  <c r="O275" i="6" s="1"/>
  <c r="N274" i="6"/>
  <c r="O274" i="6" s="1"/>
  <c r="O273" i="6"/>
  <c r="N273" i="6"/>
  <c r="N272" i="6"/>
  <c r="O272" i="6" s="1"/>
  <c r="O271" i="6"/>
  <c r="N271" i="6"/>
  <c r="N270" i="6"/>
  <c r="O270" i="6" s="1"/>
  <c r="N269" i="6"/>
  <c r="O269" i="6" s="1"/>
  <c r="N268" i="6"/>
  <c r="O268" i="6" s="1"/>
  <c r="O267" i="6"/>
  <c r="N267" i="6"/>
  <c r="N266" i="6"/>
  <c r="O266" i="6" s="1"/>
  <c r="O265" i="6"/>
  <c r="N265" i="6"/>
  <c r="N264" i="6"/>
  <c r="O264" i="6" s="1"/>
  <c r="N263" i="6"/>
  <c r="O263" i="6" s="1"/>
  <c r="N262" i="6"/>
  <c r="O262" i="6" s="1"/>
  <c r="O261" i="6"/>
  <c r="N261" i="6"/>
  <c r="N260" i="6"/>
  <c r="O260" i="6" s="1"/>
  <c r="O259" i="6"/>
  <c r="N259" i="6"/>
  <c r="N258" i="6"/>
  <c r="O258" i="6" s="1"/>
  <c r="N257" i="6"/>
  <c r="O257" i="6" s="1"/>
  <c r="N256" i="6"/>
  <c r="O256" i="6" s="1"/>
  <c r="O255" i="6"/>
  <c r="N255" i="6"/>
  <c r="N254" i="6"/>
  <c r="O254" i="6" s="1"/>
  <c r="O253" i="6"/>
  <c r="N253" i="6"/>
  <c r="N252" i="6"/>
  <c r="O252" i="6" s="1"/>
  <c r="N251" i="6"/>
  <c r="O251" i="6" s="1"/>
  <c r="N250" i="6"/>
  <c r="O250" i="6" s="1"/>
  <c r="O249" i="6"/>
  <c r="N249" i="6"/>
  <c r="N248" i="6"/>
  <c r="O248" i="6" s="1"/>
  <c r="O247" i="6"/>
  <c r="N247" i="6"/>
  <c r="N246" i="6"/>
  <c r="O246" i="6" s="1"/>
  <c r="N245" i="6"/>
  <c r="O245" i="6" s="1"/>
  <c r="N244" i="6"/>
  <c r="O244" i="6" s="1"/>
  <c r="O243" i="6"/>
  <c r="N243" i="6"/>
  <c r="N242" i="6"/>
  <c r="O242" i="6" s="1"/>
  <c r="O241" i="6"/>
  <c r="N241" i="6"/>
  <c r="N240" i="6"/>
  <c r="O240" i="6" s="1"/>
  <c r="N239" i="6"/>
  <c r="O239" i="6" s="1"/>
  <c r="N238" i="6"/>
  <c r="O238" i="6" s="1"/>
  <c r="O237" i="6"/>
  <c r="N237" i="6"/>
  <c r="N236" i="6"/>
  <c r="O236" i="6" s="1"/>
  <c r="O235" i="6"/>
  <c r="N235" i="6"/>
  <c r="N234" i="6"/>
  <c r="O234" i="6" s="1"/>
  <c r="N233" i="6"/>
  <c r="O233" i="6" s="1"/>
  <c r="N232" i="6"/>
  <c r="O232" i="6" s="1"/>
  <c r="O231" i="6"/>
  <c r="N231" i="6"/>
  <c r="N230" i="6"/>
  <c r="O230" i="6" s="1"/>
  <c r="O229" i="6"/>
  <c r="N229" i="6"/>
  <c r="N228" i="6"/>
  <c r="O228" i="6" s="1"/>
  <c r="N227" i="6"/>
  <c r="O227" i="6" s="1"/>
  <c r="N226" i="6"/>
  <c r="O226" i="6" s="1"/>
  <c r="O225" i="6"/>
  <c r="N225" i="6"/>
  <c r="N224" i="6"/>
  <c r="O224" i="6" s="1"/>
  <c r="O223" i="6"/>
  <c r="N223" i="6"/>
  <c r="N222" i="6"/>
  <c r="O222" i="6" s="1"/>
  <c r="N221" i="6"/>
  <c r="O221" i="6" s="1"/>
  <c r="N220" i="6"/>
  <c r="O220" i="6" s="1"/>
  <c r="O219" i="6"/>
  <c r="N219" i="6"/>
  <c r="N218" i="6"/>
  <c r="O218" i="6" s="1"/>
  <c r="O217" i="6"/>
  <c r="N217" i="6"/>
  <c r="N216" i="6"/>
  <c r="O216" i="6" s="1"/>
  <c r="N215" i="6"/>
  <c r="O215" i="6" s="1"/>
  <c r="N214" i="6"/>
  <c r="O214" i="6" s="1"/>
  <c r="O213" i="6"/>
  <c r="N213" i="6"/>
  <c r="N212" i="6"/>
  <c r="O212" i="6" s="1"/>
  <c r="O211" i="6"/>
  <c r="N211" i="6"/>
  <c r="N210" i="6"/>
  <c r="O210" i="6" s="1"/>
  <c r="N209" i="6"/>
  <c r="O209" i="6" s="1"/>
  <c r="N208" i="6"/>
  <c r="O208" i="6" s="1"/>
  <c r="O207" i="6"/>
  <c r="N207" i="6"/>
  <c r="N206" i="6"/>
  <c r="O206" i="6" s="1"/>
  <c r="O205" i="6"/>
  <c r="N205" i="6"/>
  <c r="N204" i="6"/>
  <c r="O204" i="6" s="1"/>
  <c r="N203" i="6"/>
  <c r="O203" i="6" s="1"/>
  <c r="N202" i="6"/>
  <c r="O202" i="6" s="1"/>
  <c r="O201" i="6"/>
  <c r="N201" i="6"/>
  <c r="N200" i="6"/>
  <c r="O200" i="6" s="1"/>
  <c r="O199" i="6"/>
  <c r="N199" i="6"/>
  <c r="N198" i="6"/>
  <c r="O198" i="6" s="1"/>
  <c r="N197" i="6"/>
  <c r="O197" i="6" s="1"/>
  <c r="N196" i="6"/>
  <c r="O196" i="6" s="1"/>
  <c r="O195" i="6"/>
  <c r="N195" i="6"/>
  <c r="N194" i="6"/>
  <c r="O194" i="6" s="1"/>
  <c r="O193" i="6"/>
  <c r="N193" i="6"/>
  <c r="N192" i="6"/>
  <c r="O192" i="6" s="1"/>
  <c r="N191" i="6"/>
  <c r="O191" i="6" s="1"/>
  <c r="N190" i="6"/>
  <c r="O190" i="6" s="1"/>
  <c r="O189" i="6"/>
  <c r="N189" i="6"/>
  <c r="N188" i="6"/>
  <c r="O188" i="6" s="1"/>
  <c r="O187" i="6"/>
  <c r="N187" i="6"/>
  <c r="N186" i="6"/>
  <c r="O186" i="6" s="1"/>
  <c r="N185" i="6"/>
  <c r="O185" i="6" s="1"/>
  <c r="N184" i="6"/>
  <c r="O184" i="6" s="1"/>
  <c r="O183" i="6"/>
  <c r="N183" i="6"/>
  <c r="N182" i="6"/>
  <c r="O182" i="6" s="1"/>
  <c r="O181" i="6"/>
  <c r="N181" i="6"/>
  <c r="N180" i="6"/>
  <c r="O180" i="6" s="1"/>
  <c r="N179" i="6"/>
  <c r="O179" i="6" s="1"/>
  <c r="N178" i="6"/>
  <c r="O178" i="6" s="1"/>
  <c r="O177" i="6"/>
  <c r="N177" i="6"/>
  <c r="N176" i="6"/>
  <c r="O176" i="6" s="1"/>
  <c r="O175" i="6"/>
  <c r="N175" i="6"/>
  <c r="N174" i="6"/>
  <c r="O174" i="6" s="1"/>
  <c r="N173" i="6"/>
  <c r="O173" i="6" s="1"/>
  <c r="N172" i="6"/>
  <c r="O172" i="6" s="1"/>
  <c r="O171" i="6"/>
  <c r="N171" i="6"/>
  <c r="N170" i="6"/>
  <c r="O170" i="6" s="1"/>
  <c r="O169" i="6"/>
  <c r="N169" i="6"/>
  <c r="N168" i="6"/>
  <c r="O168" i="6" s="1"/>
  <c r="N167" i="6"/>
  <c r="O167" i="6" s="1"/>
  <c r="N166" i="6"/>
  <c r="O166" i="6" s="1"/>
  <c r="O165" i="6"/>
  <c r="N165" i="6"/>
  <c r="N164" i="6"/>
  <c r="O164" i="6" s="1"/>
  <c r="O163" i="6"/>
  <c r="N163" i="6"/>
  <c r="N162" i="6"/>
  <c r="O162" i="6" s="1"/>
  <c r="N161" i="6"/>
  <c r="O161" i="6" s="1"/>
  <c r="N160" i="6"/>
  <c r="O160" i="6" s="1"/>
  <c r="O159" i="6"/>
  <c r="N159" i="6"/>
  <c r="N158" i="6"/>
  <c r="O158" i="6" s="1"/>
  <c r="O157" i="6"/>
  <c r="N157" i="6"/>
  <c r="N156" i="6"/>
  <c r="O156" i="6" s="1"/>
  <c r="N155" i="6"/>
  <c r="O155" i="6" s="1"/>
  <c r="N154" i="6"/>
  <c r="O154" i="6" s="1"/>
  <c r="O153" i="6"/>
  <c r="N153" i="6"/>
  <c r="N152" i="6"/>
  <c r="O152" i="6" s="1"/>
  <c r="O151" i="6"/>
  <c r="N151" i="6"/>
  <c r="N150" i="6"/>
  <c r="O150" i="6" s="1"/>
  <c r="N149" i="6"/>
  <c r="O149" i="6" s="1"/>
  <c r="N148" i="6"/>
  <c r="O148" i="6" s="1"/>
  <c r="O147" i="6"/>
  <c r="N147" i="6"/>
  <c r="N146" i="6"/>
  <c r="O146" i="6" s="1"/>
  <c r="O145" i="6"/>
  <c r="N145" i="6"/>
  <c r="N144" i="6"/>
  <c r="O144" i="6" s="1"/>
  <c r="N143" i="6"/>
  <c r="O143" i="6" s="1"/>
  <c r="N142" i="6"/>
  <c r="O142" i="6" s="1"/>
  <c r="O141" i="6"/>
  <c r="N141" i="6"/>
  <c r="N140" i="6"/>
  <c r="O140" i="6" s="1"/>
  <c r="O139" i="6"/>
  <c r="N139" i="6"/>
  <c r="N138" i="6"/>
  <c r="O138" i="6" s="1"/>
  <c r="N137" i="6"/>
  <c r="O137" i="6" s="1"/>
  <c r="N136" i="6"/>
  <c r="O136" i="6" s="1"/>
  <c r="O135" i="6"/>
  <c r="N135" i="6"/>
  <c r="N134" i="6"/>
  <c r="O134" i="6" s="1"/>
  <c r="O133" i="6"/>
  <c r="N133" i="6"/>
  <c r="N132" i="6"/>
  <c r="O132" i="6" s="1"/>
  <c r="N131" i="6"/>
  <c r="O131" i="6" s="1"/>
  <c r="N130" i="6"/>
  <c r="O130" i="6" s="1"/>
  <c r="O129" i="6"/>
  <c r="N129" i="6"/>
  <c r="N128" i="6"/>
  <c r="O128" i="6" s="1"/>
  <c r="O127" i="6"/>
  <c r="N127" i="6"/>
  <c r="N126" i="6"/>
  <c r="O126" i="6" s="1"/>
  <c r="N125" i="6"/>
  <c r="O125" i="6" s="1"/>
  <c r="N124" i="6"/>
  <c r="O124" i="6" s="1"/>
  <c r="O123" i="6"/>
  <c r="N123" i="6"/>
  <c r="N122" i="6"/>
  <c r="O122" i="6" s="1"/>
  <c r="O121" i="6"/>
  <c r="N121" i="6"/>
  <c r="N120" i="6"/>
  <c r="O120" i="6" s="1"/>
  <c r="N119" i="6"/>
  <c r="O119" i="6" s="1"/>
  <c r="O118" i="6"/>
  <c r="N118" i="6"/>
  <c r="O117" i="6"/>
  <c r="N117" i="6"/>
  <c r="N116" i="6"/>
  <c r="O116" i="6" s="1"/>
  <c r="O115" i="6"/>
  <c r="N115" i="6"/>
  <c r="N114" i="6"/>
  <c r="O114" i="6" s="1"/>
  <c r="N113" i="6"/>
  <c r="O113" i="6" s="1"/>
  <c r="N112" i="6"/>
  <c r="O112" i="6" s="1"/>
  <c r="O111" i="6"/>
  <c r="N111" i="6"/>
  <c r="N110" i="6"/>
  <c r="O110" i="6" s="1"/>
  <c r="O109" i="6"/>
  <c r="N109" i="6"/>
  <c r="N108" i="6"/>
  <c r="O108" i="6" s="1"/>
  <c r="N107" i="6"/>
  <c r="O107" i="6" s="1"/>
  <c r="N106" i="6"/>
  <c r="O106" i="6" s="1"/>
  <c r="O105" i="6"/>
  <c r="N105" i="6"/>
  <c r="N104" i="6"/>
  <c r="O104" i="6" s="1"/>
  <c r="O103" i="6"/>
  <c r="N103" i="6"/>
  <c r="N102" i="6"/>
  <c r="O102" i="6" s="1"/>
  <c r="N101" i="6"/>
  <c r="O101" i="6" s="1"/>
  <c r="N100" i="6"/>
  <c r="O100" i="6" s="1"/>
  <c r="O99" i="6"/>
  <c r="N99" i="6"/>
  <c r="N98" i="6"/>
  <c r="O98" i="6" s="1"/>
  <c r="O97" i="6"/>
  <c r="N97" i="6"/>
  <c r="N96" i="6"/>
  <c r="O96" i="6" s="1"/>
  <c r="N95" i="6"/>
  <c r="O95" i="6" s="1"/>
  <c r="N94" i="6"/>
  <c r="O94" i="6" s="1"/>
  <c r="O93" i="6"/>
  <c r="N93" i="6"/>
  <c r="N92" i="6"/>
  <c r="O92" i="6" s="1"/>
  <c r="O91" i="6"/>
  <c r="N91" i="6"/>
  <c r="N90" i="6"/>
  <c r="O90" i="6" s="1"/>
  <c r="N89" i="6"/>
  <c r="O89" i="6" s="1"/>
  <c r="N88" i="6"/>
  <c r="O88" i="6" s="1"/>
  <c r="O87" i="6"/>
  <c r="N87" i="6"/>
  <c r="N86" i="6"/>
  <c r="O86" i="6" s="1"/>
  <c r="O85" i="6"/>
  <c r="N85" i="6"/>
  <c r="N84" i="6"/>
  <c r="O84" i="6" s="1"/>
  <c r="N83" i="6"/>
  <c r="O83" i="6" s="1"/>
  <c r="N82" i="6"/>
  <c r="O82" i="6" s="1"/>
  <c r="O81" i="6"/>
  <c r="N81" i="6"/>
  <c r="N80" i="6"/>
  <c r="O80" i="6" s="1"/>
  <c r="O79" i="6"/>
  <c r="N79" i="6"/>
  <c r="N78" i="6"/>
  <c r="O78" i="6" s="1"/>
  <c r="N77" i="6"/>
  <c r="O77" i="6" s="1"/>
  <c r="N76" i="6"/>
  <c r="O76" i="6" s="1"/>
  <c r="O75" i="6"/>
  <c r="N75" i="6"/>
  <c r="N74" i="6"/>
  <c r="O74" i="6" s="1"/>
  <c r="O73" i="6"/>
  <c r="N73" i="6"/>
  <c r="N72" i="6"/>
  <c r="O72" i="6" s="1"/>
  <c r="N71" i="6"/>
  <c r="O71" i="6" s="1"/>
  <c r="N70" i="6"/>
  <c r="O70" i="6" s="1"/>
  <c r="O69" i="6"/>
  <c r="N69" i="6"/>
  <c r="N68" i="6"/>
  <c r="O68" i="6" s="1"/>
  <c r="O67" i="6"/>
  <c r="N67" i="6"/>
  <c r="N66" i="6"/>
  <c r="O66" i="6" s="1"/>
  <c r="N65" i="6"/>
  <c r="O65" i="6" s="1"/>
  <c r="N64" i="6"/>
  <c r="O64" i="6" s="1"/>
  <c r="O63" i="6"/>
  <c r="N63" i="6"/>
  <c r="N62" i="6"/>
  <c r="O62" i="6" s="1"/>
  <c r="O61" i="6"/>
  <c r="N61" i="6"/>
  <c r="N60" i="6"/>
  <c r="O60" i="6" s="1"/>
  <c r="N59" i="6"/>
  <c r="O59" i="6" s="1"/>
  <c r="N58" i="6"/>
  <c r="O58" i="6" s="1"/>
  <c r="O57" i="6"/>
  <c r="N57" i="6"/>
  <c r="N56" i="6"/>
  <c r="O56" i="6" s="1"/>
  <c r="O55" i="6"/>
  <c r="N55" i="6"/>
  <c r="N54" i="6"/>
  <c r="O54" i="6" s="1"/>
  <c r="N53" i="6"/>
  <c r="O53" i="6" s="1"/>
  <c r="N52" i="6"/>
  <c r="O52" i="6" s="1"/>
  <c r="O51" i="6"/>
  <c r="N51" i="6"/>
  <c r="N50" i="6"/>
  <c r="O50" i="6" s="1"/>
  <c r="O49" i="6"/>
  <c r="N49" i="6"/>
  <c r="N48" i="6"/>
  <c r="O48" i="6" s="1"/>
  <c r="N47" i="6"/>
  <c r="O47" i="6" s="1"/>
  <c r="N46" i="6"/>
  <c r="O46" i="6" s="1"/>
  <c r="O45" i="6"/>
  <c r="N45" i="6"/>
  <c r="N44" i="6"/>
  <c r="O44" i="6" s="1"/>
  <c r="O43" i="6"/>
  <c r="N43" i="6"/>
  <c r="N42" i="6"/>
  <c r="O42" i="6" s="1"/>
  <c r="N41" i="6"/>
  <c r="O41" i="6" s="1"/>
  <c r="N40" i="6"/>
  <c r="O40" i="6" s="1"/>
  <c r="O39" i="6"/>
  <c r="N39" i="6"/>
  <c r="N38" i="6"/>
  <c r="O38" i="6" s="1"/>
  <c r="O37" i="6"/>
  <c r="N37" i="6"/>
  <c r="N36" i="6"/>
  <c r="O36" i="6" s="1"/>
  <c r="N35" i="6"/>
  <c r="O35" i="6" s="1"/>
  <c r="N34" i="6"/>
  <c r="O34" i="6" s="1"/>
  <c r="O33" i="6"/>
  <c r="N33" i="6"/>
  <c r="N32" i="6"/>
  <c r="O32" i="6" s="1"/>
  <c r="O31" i="6"/>
  <c r="N31" i="6"/>
  <c r="N30" i="6"/>
  <c r="O30" i="6" s="1"/>
  <c r="N29" i="6"/>
  <c r="O29" i="6" s="1"/>
  <c r="N28" i="6"/>
  <c r="O28" i="6" s="1"/>
  <c r="O27" i="6"/>
  <c r="N27" i="6"/>
  <c r="N26" i="6"/>
  <c r="O26" i="6" s="1"/>
  <c r="O25" i="6"/>
  <c r="N25" i="6"/>
  <c r="N24" i="6"/>
  <c r="O24" i="6" s="1"/>
  <c r="N23" i="6"/>
  <c r="O23" i="6" s="1"/>
  <c r="N22" i="6"/>
  <c r="O22" i="6" s="1"/>
  <c r="O21" i="6"/>
  <c r="N21" i="6"/>
  <c r="N20" i="6"/>
  <c r="O20" i="6" s="1"/>
  <c r="O19" i="6"/>
  <c r="N19" i="6"/>
  <c r="N18" i="6"/>
  <c r="O18" i="6" s="1"/>
  <c r="N17" i="6"/>
  <c r="O17" i="6" s="1"/>
  <c r="N16" i="6"/>
  <c r="O16" i="6" s="1"/>
  <c r="O15" i="6"/>
  <c r="N15" i="6"/>
  <c r="N14" i="6"/>
  <c r="O14" i="6" s="1"/>
  <c r="O13" i="6"/>
  <c r="N13" i="6"/>
  <c r="N12" i="6"/>
  <c r="O12" i="6" s="1"/>
  <c r="N11" i="6"/>
  <c r="O11" i="6" s="1"/>
  <c r="N10" i="6"/>
  <c r="O10" i="6" s="1"/>
  <c r="O9" i="6"/>
  <c r="N9" i="6"/>
  <c r="N8" i="6"/>
  <c r="O8" i="6" s="1"/>
  <c r="O7" i="6"/>
  <c r="N7" i="6"/>
  <c r="N6" i="6"/>
  <c r="O6" i="6" s="1"/>
  <c r="N5" i="6"/>
  <c r="O5" i="6" s="1"/>
  <c r="N4" i="6"/>
  <c r="O4" i="6" s="1"/>
  <c r="B59" i="3"/>
  <c r="B58" i="3"/>
  <c r="B57" i="3"/>
  <c r="B56" i="3"/>
  <c r="B55" i="3"/>
  <c r="B54" i="3"/>
  <c r="B9"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Protocolo SLR</author>
  </authors>
  <commentList>
    <comment ref="D3" authorId="0" shapeId="0" xr:uid="{00000000-0006-0000-0500-000001000000}">
      <text>
        <r>
          <rPr>
            <sz val="11"/>
            <color theme="1"/>
            <rFont val="Calibri"/>
            <family val="2"/>
            <scheme val="minor"/>
          </rPr>
          <t>Q1: El objetivo o pregunta del estudio está claramente definido.
0 = no cumple | 1 = parcial | 2 = cumple bien</t>
        </r>
      </text>
    </comment>
    <comment ref="E3" authorId="0" shapeId="0" xr:uid="{00000000-0006-0000-0500-000002000000}">
      <text>
        <r>
          <rPr>
            <sz val="11"/>
            <color theme="1"/>
            <rFont val="Calibri"/>
            <family val="2"/>
            <scheme val="minor"/>
          </rPr>
          <t>Q2: Identifica el patógeno a nivel de especie (o al menos género) de forma clara.
0 = no cumple | 1 = parcial | 2 = cumple bien</t>
        </r>
      </text>
    </comment>
    <comment ref="F3" authorId="0" shapeId="0" xr:uid="{00000000-0006-0000-0500-000003000000}">
      <text>
        <r>
          <rPr>
            <sz val="11"/>
            <color theme="1"/>
            <rFont val="Calibri"/>
            <family val="2"/>
            <scheme val="minor"/>
          </rPr>
          <t>Q3: Describe la enfermedad y los síntomas en el TALLO/tronco con claridad.
0 = no cumple | 1 = parcial | 2 = cumple bien</t>
        </r>
      </text>
    </comment>
    <comment ref="G3" authorId="0" shapeId="0" xr:uid="{00000000-0006-0000-0500-000004000000}">
      <text>
        <r>
          <rPr>
            <sz val="11"/>
            <color theme="1"/>
            <rFont val="Calibri"/>
            <family val="2"/>
            <scheme val="minor"/>
          </rPr>
          <t>Q4: Se realiza sobre aguacate (Persea americana) o es claramente extrapolable a él.
0 = no cumple | 1 = parcial | 2 = cumple bien</t>
        </r>
      </text>
    </comment>
    <comment ref="H3" authorId="0" shapeId="0" xr:uid="{00000000-0006-0000-0500-000005000000}">
      <text>
        <r>
          <rPr>
            <sz val="11"/>
            <color theme="1"/>
            <rFont val="Calibri"/>
            <family val="2"/>
            <scheme val="minor"/>
          </rPr>
          <t>Q5: La metodología (muestreo, aislamiento, identificación/diagnóstico) está descrita y es replicable.
0 = no cumple | 1 = parcial | 2 = cumple bien</t>
        </r>
      </text>
    </comment>
    <comment ref="I3" authorId="0" shapeId="0" xr:uid="{00000000-0006-0000-0500-000006000000}">
      <text>
        <r>
          <rPr>
            <sz val="11"/>
            <color theme="1"/>
            <rFont val="Calibri"/>
            <family val="2"/>
            <scheme val="minor"/>
          </rPr>
          <t>Q6: Aporta evidencia que respalda las conclusiones (imágenes, mediciones, laboratorio, secuencias).
0 = no cumple | 1 = parcial | 2 = cumple bien</t>
        </r>
      </text>
    </comment>
    <comment ref="J3" authorId="0" shapeId="0" xr:uid="{00000000-0006-0000-0500-000007000000}">
      <text>
        <r>
          <rPr>
            <sz val="11"/>
            <color theme="1"/>
            <rFont val="Calibri"/>
            <family val="2"/>
            <scheme val="minor"/>
          </rPr>
          <t>Q7: Menciona métodos de detección/diagnóstico (visual, molecular, imagen o IA) útiles para la app.
0 = no cumple | 1 = parcial | 2 = cumple bien</t>
        </r>
      </text>
    </comment>
    <comment ref="K3" authorId="0" shapeId="0" xr:uid="{00000000-0006-0000-0500-000008000000}">
      <text>
        <r>
          <rPr>
            <sz val="11"/>
            <color theme="1"/>
            <rFont val="Calibri"/>
            <family val="2"/>
            <scheme val="minor"/>
          </rPr>
          <t>Q8: Indica el contexto geográfico/región (mundial o Latinoamérica) y las condiciones.
0 = no cumple | 1 = parcial | 2 = cumple bien</t>
        </r>
      </text>
    </comment>
    <comment ref="L3" authorId="0" shapeId="0" xr:uid="{00000000-0006-0000-0500-000009000000}">
      <text>
        <r>
          <rPr>
            <sz val="11"/>
            <color theme="1"/>
            <rFont val="Calibri"/>
            <family val="2"/>
            <scheme val="minor"/>
          </rPr>
          <t>Q9: Resultados y conclusiones claros y coherentes con los datos presentados.
0 = no cumple | 1 = parcial | 2 = cumple bien</t>
        </r>
      </text>
    </comment>
    <comment ref="M3" authorId="0" shapeId="0" xr:uid="{00000000-0006-0000-0500-00000A000000}">
      <text>
        <r>
          <rPr>
            <sz val="11"/>
            <color theme="1"/>
            <rFont val="Calibri"/>
            <family val="2"/>
            <scheme val="minor"/>
          </rPr>
          <t>Q10: Fuente confiable y actual (revista revisada por pares, citable, año dentro del rango).
0 = no cumple | 1 = parcial | 2 = cumple bien</t>
        </r>
      </text>
    </comment>
    <comment ref="N3" authorId="0" shapeId="0" xr:uid="{00000000-0006-0000-0500-00000B000000}">
      <text>
        <r>
          <rPr>
            <sz val="11"/>
            <color theme="1"/>
            <rFont val="Calibri"/>
            <family val="2"/>
            <scheme val="minor"/>
          </rPr>
          <t>Puntaje total = suma de Q1..Q10 (0 a 20). Se calcula solo.</t>
        </r>
      </text>
    </comment>
    <comment ref="O3" authorId="0" shapeId="0" xr:uid="{00000000-0006-0000-0500-00000C000000}">
      <text>
        <r>
          <rPr>
            <sz val="11"/>
            <color theme="1"/>
            <rFont val="Calibri"/>
            <family val="2"/>
            <scheme val="minor"/>
          </rPr>
          <t>Nivel = Alta (16-20) / Media (11-15) / Baja (&lt;=10). Se calcula solo.</t>
        </r>
      </text>
    </comment>
  </commentList>
</comments>
</file>

<file path=xl/sharedStrings.xml><?xml version="1.0" encoding="utf-8"?>
<sst xmlns="http://schemas.openxmlformats.org/spreadsheetml/2006/main" count="774" uniqueCount="525">
  <si>
    <t>Base_consolidada</t>
  </si>
  <si>
    <t>Inventario inicial: TODOS los registros exportados de las bases (Scopus, IEEE, WoS, Springer). Aún no se filtra nada. Asigna un ID único (A0001, A0002, ...) a cada registro.</t>
  </si>
  <si>
    <t>ID</t>
  </si>
  <si>
    <t>Base de datos</t>
  </si>
  <si>
    <t>Título completo</t>
  </si>
  <si>
    <t>Autores</t>
  </si>
  <si>
    <t>Año</t>
  </si>
  <si>
    <t>DOI</t>
  </si>
  <si>
    <t>Keywords</t>
  </si>
  <si>
    <t>Abstract</t>
  </si>
  <si>
    <t>Tipo de documento</t>
  </si>
  <si>
    <t>Fuente / Revista</t>
  </si>
  <si>
    <t>Estado inicial</t>
  </si>
  <si>
    <t>Registro fuente</t>
  </si>
  <si>
    <t>A0001</t>
  </si>
  <si>
    <t>Scopus</t>
  </si>
  <si>
    <t>Avocado rhizobacteria emit volatile organic compounds with antifungal activity against Fusarium solani, Fusarium sp. associated with Kuroshio shot hole borer, and Colletotrichum gloeosporioides</t>
  </si>
  <si>
    <t>Guevara-Avendaño E.; Bejarano-Bolívar A.A.; Kiel-Martínez A.-L.; Ramírez-Vázquez M.; Méndez-Bravo A.; von Wobeser E.A.; Sánchez-Rangel D.; Guerrero-Analco J.A.; Eskalen A.; Reverchon F.</t>
  </si>
  <si>
    <t>10.1016/j.micres.2018.11.009</t>
  </si>
  <si>
    <t>Bacillus spp.; Bacterial volatiles; Biological control; Persea americana; Pseudomonas sp.; Rhizosphere; Animals; Antifungal Agents; Bacillus; Biological Control Agents; Coleoptera; Colletotrichum; Fusarium; Persea; Phytophthora; Pseudomonas; Volatile Organic Compounds; Bacillus (bacterium); Bacillus amyloliquefaciens; Bacillus mycoides; Bacteria (microorganisms); Fusarium; Fusarium solani; Fusarium sp.; Glomerella cingulata; Mycelium (genus); Persea americana; Phytophthora; Phytophthora cinnamomi; Pseudomonas; Pseudomonas sp.; Rhizobiales; Bacteria; Bacteriology; Diagnosis; Disease control; Fruits; Gas chromatography; Ketones; Mass spectrometry; Ocean currents; Soils; Sulfur compounds; Volatile organic compounds; antifungal agent; volatile organic compound; Bacillus spp; Bacterial volatiles; Biological controls; Persea americana; Pseudomonas sp; Rhizosphere; antagonism; antimicrobial activity; beetle; biological control; fruit; fungus; growth; pathogen; rhizobacterium; rhizosphere; root rot; volatile organic compound; animal; Bacillus; beetle; biological control agent; Colletotrichum; drug effect; Fusarium; metabolism; microbiology; Persea; pharmacology; Phytophthora; Pseudomonas; Fungi</t>
  </si>
  <si>
    <t>Recent studies showed that bacterial volatile organic compounds (VOCs) play an important role in the suppression of phytopathogens. The ability of VOCs produced by avocado (Persea americana Mill.) rhizobacteria to suppress the growth of common avocado pathogens was therefore investigated. We evaluated the antifungal activity of VOCs emitted by avocado rhizobacteria in a first screening against Fusarium solani, and in subsequent antagonism assays against Fusarium sp. associated with Kuroshio shot hole borer, Colletotrichum gloeosporioides and Phytophthora cinnamomi, responsible for Fusarium dieback, anthracnosis and Phytophthora root rot in avocado, respectively. We also analyzed the composition of the bacterial volatile profiles by solid phase microextraction (SPME) gas chromatography coupled to mass spectrometry (GC–MS). Seven isolates, belonging to the bacterial genera Bacillus and Pseudomonas, reduced the mycelial growth of F. solani with inhibition percentages higher than 20%. Isolate HA, related to Bacillus amyloliquefaciens, significantly reduced the mycelial growth of Fusarium sp. and C. gloeosporioides and the mycelium density of P. cinnamomi. Isolates SO and SJJ, also members of the genus Bacillus, reduced Fusarium sp. mycelial growth and induced morphological alterations of fungal hyphae whilst isolate HB, close to B. mycoides, inhibited C. gloeosporioides. The analysis of the volatile profiles revealed the presence of ketones, pyrazines and sulfur-containing compounds, previously reported with antifungal activity. Altogether, our results support the potential of avocado rhizobacteria to act as biocontrol agents of avocado fungal pathogens and emphasize the importance of Bacillus spp. for the control of emerging avocado diseases such as Fusarium dieback. © 2018</t>
  </si>
  <si>
    <t>Article</t>
  </si>
  <si>
    <t>Microbiological Research</t>
  </si>
  <si>
    <t>Importado</t>
  </si>
  <si>
    <t>scopus_export_Sep 18-2026_4e658477-f683-499d-a469-81d37efaa96b.csv</t>
  </si>
  <si>
    <t>A0002</t>
  </si>
  <si>
    <t>Colletotrichum fructicola, a Member of Colletotrichum gloeosporioides sensu lato, is the causal agent of anthracnose and soft rot in avocado fruits cv. "Hass"</t>
  </si>
  <si>
    <t>Fuentes-Aragón D.; Juárez-Vázquez S.B.; Vargas-Hernández M.; Silva-Rojas H.V.</t>
  </si>
  <si>
    <t>10.1080/12298093.2018.1454010</t>
  </si>
  <si>
    <t>Bayesian inference; Colletotrichum species complex; Fungal infection; Multilocus sequencing typing; Persea americana; Phylogenetic reconstruction</t>
  </si>
  <si>
    <t>The filamentous Ascomycota Colletotrichum gloeosporioides sensu lato is a fungus that has been reported worldwide as a causal agent of anthracnose disease in avocado and other crops. In Mexico, this species affects fruits from an early stage of development in the orchard until the post-harvest stage. Although fungicides are continuously applied to control Colletotrichum species, pericarp cankers and soft rot mesocarp in fruits are still frequently observed. Considering the lack of a precise description of the causative agent, the aim of the current study was to determine the pathogens involved in this symptomatology. Twenty-four isolates were consistently obtained from the pericarp of avocado fruits cv. "Hass" collected in the central avocado-producing area of Mexico. Morphological features such as colony growth, conidia size, and mycelial appressorium were assessed. Bayesian multilocus phylogenetic analyses were performed using amplified sequences of the internal transcribed spacer region of the nuclear ribosomal DNA; actin, chitin synthase, glyceraldehyde-3-phosphate dehydrogenase partial genes; and APn2-Mat1-2 intergenic spacer and mating type Mat1-2 partial gene from the nine selected isolates. In addition, fruits were inoculated with a conidial suspension and reproducible symptoms confirmed the presence of Colletotrichum fructicola in this area. This pathogenic species can now be added to those previously reported in the country, such as C. acutatum, C. boninense, C. godetiae, C. gloeosporioides, and C. karstii. Disease management programs to reduce the incidence of anthracnose should include C. fructicola to determine its response to fungicides that are routinely applied, considering that the appearance of new species is affecting the commercial quality of the fruits and shifting the original population structure. © 2018 The Author(s).</t>
  </si>
  <si>
    <t>Mycobiology</t>
  </si>
  <si>
    <t>scopus_export_Sep 18-2026_82c23d75-ee65-4935-bf31-12365c1693d4.csv</t>
  </si>
  <si>
    <t>A0003</t>
  </si>
  <si>
    <t>Colletotrichum perseae and Colletotrichum gloeosporioides sensu strictu Causing Stem Lesion and Dieback in Avocado in Italy</t>
  </si>
  <si>
    <t>Vecchio L.; Martino I.; Guarnaccia V.; Polizzi G.; Aiello D.</t>
  </si>
  <si>
    <t>10.3390/horticulturae12010111</t>
  </si>
  <si>
    <t>Colletotrichum species; Persea americana; stem and fruit infections</t>
  </si>
  <si>
    <t>In the last decade, avocado production has increased in Italy due to the fruit’s high nutritional quality and economic value. During 2024, stem lesions, wood discoloration and dieback, often starting at the grafting point, were observed in young plants in a nursery in Sicily (Italy). Colletotrichum-like colonies were frequently isolated from symptomatic tissues. Multi-locus phylogenetic analysis (gapdh, chs-1, act, tub2, cal, gs and ApMat) was conducted on 11 representative isolates, identifying 6 as C. perseae and 5 as C. gloeosporioides sensu stricto (s.s.). Two representative isolates were selected for pathogenicity tests performed on 2-year-old avocado plants cultivated in a greenhouse. After two months, necrotic lesions, wood discoloration and reddish-brown streaking at the inoculation point were induced in both species. Additional inoculations of avocado fruit confirmed the ability of both species to cause fruit rot. All inoculated fungi were successfully re-isolated and identified, fulfilling Koch’s postulates. This is the first report of stem lesions and dieback caused by Colletotrichum species and the first occurrence of C. perseae in avocado plants in Europe. The results highlight the importance of early monitoring in nurseries during the propagation process and contribute to a better understanding of fungal diseases in avocado crops in Italy. © 2026 by the authors.</t>
  </si>
  <si>
    <t>Horticulturae</t>
  </si>
  <si>
    <t>scopus_export_Sep 17-2026_64f2de15-f34e-4ffa-b356-5d490b5ac07b.csv | scopus_export_Sep 18-2026_82c23d75-ee65-4935-bf31-12365c1693d4.csv</t>
  </si>
  <si>
    <t>A0004</t>
  </si>
  <si>
    <t>Colletotrichum siamense is the main aetiological agent of anthracnose of avocado in south-eastern Brazil</t>
  </si>
  <si>
    <t>Soares M.G.O.; Alves E.; Silveira A.L.; Pereira F.D.; Guimarães S.S.C.</t>
  </si>
  <si>
    <t>10.1111/ppa.13262</t>
  </si>
  <si>
    <t>infectious process; multilocus phylogeny; pathogenicity; Persea americana; post-harvest disease; Brazil; Colletotrichum; Colletotrichum boninense; Persea americana; anthracnose; bacterium; deciduous tree; etiology; genetic variation; inoculation; isolated population; morphology; phylogenetics; sporulation</t>
  </si>
  <si>
    <t>Anthracnose caused by species of Colletotrichum is considered one of the main postharvest diseases for avocado. In this study, Colletotrichum isolates associated with avocado anthracnose, collected in different states of Brazil, were evaluated through phylogenetic analysis, morphological characterization, and pathogenicity assays. Moreover, the events during pathogen infection of avocados were examined by scanning electron microscopy. To assess the genetic diversity of 54 Colletotrichum isolates, partial sequence analysis of the gene gapdh was performed. According to the generated groupings and the geographical origins of isolates, a subset of 14 strains was selected for performing multilocus phylogeny analysis (using sequences of gapdh, act, tub2, and ApMat). Two species previously described were identified: C. siamense belonging to the C. gloeosporioides species complex and Colletotrichum karstii belonging to the C. boninense species complex. All Colletotrichum strains evaluated caused typical symptoms of anthracnose in avocado fruits. Conidia of the most virulent strain germinated between 6 and 12 hr after inoculation (hai). Penetration through wounds occurred 48 hai, tissue colonization occurred between 144 and 240 hai, and sporulation took place at 240 hai via the production of an acervulus, conidiophores, and conidia. The findings shed light on the aetiology of avocado anthracnose in Brazil and provide a better understanding of the infection process of this pathogen, which may assist in the development of disease management strategies. © 2020 British Society for Plant Pathology</t>
  </si>
  <si>
    <t>Plant Pathology</t>
  </si>
  <si>
    <t>scopus_export_Sep 17-2026_64f2de15-f34e-4ffa-b356-5d490b5ac07b.csv</t>
  </si>
  <si>
    <t>A0005</t>
  </si>
  <si>
    <t>Colletotrichum species causing anthracnose on avocado fruit in Mexico: Current status</t>
  </si>
  <si>
    <t>Fuentes-Aragón D.; Silva-Rojas H.V.; Guarnaccia V.; Mora-Aguilera J.A.; Aranda-Ocampo S.; Bautista-Martínez N.; Téliz-Ortíz D.</t>
  </si>
  <si>
    <t>10.1111/ppa.13234</t>
  </si>
  <si>
    <t>Colletotrichum jiangxiense sexual morph; Colletotrichum species; multilocus phylogenetic analyses; pathogenicity test; Persea americana; Mexico [North America]; Colletotrichum; Colletotrichum nymphaeae; Colletotrichum sp.; Persea americana; anthracnose; bacterium; crop plant; fruit; genetic analysis; morphology; pathogenicity; phylogenetics</t>
  </si>
  <si>
    <t>Colletotrichum species cause anthracnose disease in tropical and subtropical fruit crops worldwide. Mexico is the main producer and exporter of avocado (Persea americana) globally and has yearly outbreaks of anthracnose on this crop. However, which specific Colletotrichum spp. cause these outbreaks in avocado-producing regions remain uncertain; thus, the objective of the present study was to identify the species responsible. A survey performed in six production regions of Mexico yielded 232 isolates, from which a subset of 104 strains was selected based on morphological characteristics and origin. This subset was sequenced and haplotypes were analysed in the gapdh partial gene. Finally, 31 strains were identified through multilocus phylogenetic analyses using the sequences of the internal transcribed spacer region and six loci. This study revealed the presence of two species previously reported in Mexico (C. karsti and C. godetiae), three novel records in Mexico (C. siamense, C. fioriniae, and C. cigarro), four novel records on avocado (C. chrysophilum, C. jiangxiense, C. tropicale, and C. nymphaeae), and two novel lineages (Colletotrichum sp. 1 and Colletotrichum sp. 2). C. siamense was the most prevalent, while the species reported for the first time on avocado, including the novel lineages, were the least prevalent. C. karsti was the most widespread (four regions), followed by C. siamense, C. jiangxiense, and C. chrysophilum (three regions). Pathogenicity tests showed that all species caused anthracnose on avocado fruit. These findings will be useful for improving the management of avocado anthracnose outbreaks in Mexico. © 2020 British Society for Plant Pathology</t>
  </si>
  <si>
    <t>scopus_export_Sep 17-2026_2fb2f4b0-ee23-499b-9e91-17eb9cc8aaf8.csv</t>
  </si>
  <si>
    <t>A0006</t>
  </si>
  <si>
    <t>Ecofriendly management of anthracnose on avocado caused by Colletotrichum perseae in the Mediterranean basin</t>
  </si>
  <si>
    <t>Vecchio L.; Arrebola E.; Polizzi G.; Vitale A.</t>
  </si>
  <si>
    <t>10.1002/jsf2.70088</t>
  </si>
  <si>
    <t>anthracnose; avocado; Bacillus; biological control agents; sustainable agriculture; Trichoderma</t>
  </si>
  <si>
    <t>Background: Colletotrichum perseae, recently reported in Europe, causes stem and twig lesions and dieback, and fruit rot on avocado in several countries. Due to EU severe restrictions, there is an urgent need for sustainable alternatives to fungicides. This study aims to evaluate the preventative activity of trade bioformulates against C. perseae across detached twig, greenhouse pot-plant grown, and postharvest fruit experiments. Results: All biological treatments have significantly managed twig anthracnose infections ranging by 37%–91% reductions. Bacillus amyloliquefaciens QST713, chitosan, Trichoderma gamsii + Trichoderma asperellum mixture, and Equisetum arvense based bioformulates showed a similar efficacy of the standard fungicide (pyraclostrobin) whilst sweet orange essential oils were less effective. In potted plants grown in greenhouse, T. asperellum T34 followed by T. gamsii + T. asperellum mixture bioformulates revealed the most effective in reducing internal lesions caused by C. perseae. On the other hand, bioformulate containing B. amyloliquefaciens D747 revealed the most effective treatment in minimizing C. perseae anthracnose lesions under post-harvest conditions. Conclusion: The paper clearly showed that some trade bioformulates could represent a highly effective, environmentally friendly option for managing C. perseae of avocado. The implementation of such an approach should be imperative for developing performant strategies for other avocado diseases. This process should begin with preventive applications of Trichoderma species as T34 in nursery and preserve the health in postharvest by using B. amyloliquefaciens strains-based formulates. Indeed, the strategic adoption of these trade bioalternatives provides a concrete pathway to replace chemical fungicides. © 2026 The Author(s). JSFA Reports published by John Wiley &amp; Sons Ltd on behalf of Society of Chemical Industry.</t>
  </si>
  <si>
    <t>JSFA reports</t>
  </si>
  <si>
    <t>A0007</t>
  </si>
  <si>
    <t>Effect of pectin-based edible emulsion coating on changes in quality of avocado exposed to Lasiodiplodia theobromae infection</t>
  </si>
  <si>
    <t>Maftoonazad N.; Ramaswamy H.S.; Moalemiyan M.; Kushalappa A.C.</t>
  </si>
  <si>
    <t>10.1016/j.carbpol.2006.11.020</t>
  </si>
  <si>
    <t>Avocado; Coating; Color; Edible film; Lasiodiplodia theobromae; Pectin; Respiration rate; Storage; Texture; Carbohydrates; Emulsions; Food Storage; Fruits; Fungi; Persea; Botryosphaeria rhodina; Persea americana; Emulsions; Food storage; Fruits; Fungi; Edible films; Lasiodiplodia theobromae; Pectin; Respiration rate; Uncoated fruits; Carbohydrates</t>
  </si>
  <si>
    <t>This study was carried out to evaluate the effect of pectin-based edible emulsion coating on activity and disease severity of Lasiodiplodia theobromae in avocados, and their subsequent influence on the fruit quality. In order to assess the influence of coating and disease, avocados were sorted and devided into four equal lots and all were incubated at 20 °C for up to 4 days. The first and second lots constituted samples which were stored as coated and uncoated, respectively, without fungal inoculation. The third and fourth lots were coated and un-coated fruits inoculated with the fungal disease. For coating, a previously standardized pectin-based emulsion was used. The incubated fruits were examined for the spread of disease, respiration rate and quality parameters, color and texture. As the incubation time increased, the volume of disease (VDS) increased, which in turn influenced the respiration rate (RR) in both coated and uncoated fruits. However, the coated fruits sustained a significantly slower rate of disease spread and RR. Similarly, the associated quality changes (texture and color) were much lower in coated fruits as compared with the control. Thus, the pectin based coating was effective in controlling the spread and severity of stem end rot in avocados. Changes in physical and physiological parameters of coated and uncoated fruits were well described by some form of semi-logarithmic models and were related to the VDS as well as case dependent incubation time. © 2007.</t>
  </si>
  <si>
    <t>Carbohydrate Polymers</t>
  </si>
  <si>
    <t>scopus_export_Sep 18-2026_8f28b456-611a-478a-9b87-bb5029e250f3.csv</t>
  </si>
  <si>
    <t>A0008</t>
  </si>
  <si>
    <t>Effect of seaweed extract on avocado root growth, yield and post-harvest quality in far north Queensland, Australia</t>
  </si>
  <si>
    <t>Arioli T.; Villalta O.N.; Hepworth G.; Farnsworth B.; Mattner S.W.</t>
  </si>
  <si>
    <t>10.1007/s10811-023-02933-0</t>
  </si>
  <si>
    <t>Ascophyllum nodosum; Biostimulant; Durvillaea potatorum; Persea americana; Phytophthora cinnamomi</t>
  </si>
  <si>
    <t>Seaweed extracts are proven to increase productivity in many agricultural crops, but there is limited research on their use in avocado production. Therefore, we evaluated the effectiveness of a seaweed extract from Durvillaea potatorum and Ascophyllum nodosum on avocado yield, revenue and post-harvest fruit quality in a series of field experiments in Australia, and on seedling root growth in a pot experiment. The field experiments were conducted on commercial farms across three different locations in northern Queensland over four years and utilised avocado trees with different ages, cultivars (Hass and Shepard) and inoculum pressures from Phytophthora cinnamomi. Results showed that the application of the seaweed extract by fertigation significantly improved avocado yield (kg fruit per tree) by 38%, fruit firmness by 4% (skin) and 22% (flesh) and fruit skin colour by 1° (hue), and an upgraded visual ripeness score. The increases in yield were associated with greater number of fruits per tree (up to 42%) indicating the liquid seaweed extract improved fruit set and retention per tree. Regular soil application of the seaweed extract to young trees (cv. Hass) in pots increased the root fresh weight by 22%. Overall, the regular application of the seaweed extract to avocado trees was found to be practical and economically viable for improving fruit production and post-harvest quality in Australian orchards. © The Author(s) 2023.</t>
  </si>
  <si>
    <t>Journal of Applied Phycology</t>
  </si>
  <si>
    <t>scopus_export_Sep 18-2026_162c1d26-553e-41ee-8ea1-e9ecd3a7eea2.csv</t>
  </si>
  <si>
    <t>A0009</t>
  </si>
  <si>
    <t>Emerging pathogens and disease dynamics threatening avocado production in southern Türkiye</t>
  </si>
  <si>
    <t>Çalış Ö.; Çelik S.; Fidan H.; Tek M.I.; Shah M.; Tozlu I.; Wani S.H.</t>
  </si>
  <si>
    <t>10.1007/s41348-024-00954-6</t>
  </si>
  <si>
    <t>Anthracnose; Avocado; Branch canker; Dieback; Fungal diseases; Soil-borne pathogens; Turkey; anthracnose; biological control; dieback; fruit; fungal disease; fungus; pathogen; pathogenicity; soilborne disease</t>
  </si>
  <si>
    <t>Avocado (Persea americana Milll.) holds a pivotal position in global fruit crops, contributing significantly to the economies of tropical and subtropical regions. However, the rising incidence of diseases poses a substantial risk to avocado production. This comprehensive study investigated the disease landscape in Antalya, the largest avocado cultivation area in the Türkiye. A survey of 2537 avocado trees across 11 regions from 2020 to 2021 revealed alarming disease incidences, particularly in the eastern regions of Gazipasa and Alanya. Dieback, branch canker, anthracnose, and soil-borne root rot were identified as the primary diseases affecting tree canopies, twigs, and branches. Morphological and molecular analyzes unveiled a spectrum of pathogens, with Colletotrichum gloeosporioides dominating in the Mediterranean region. Notably, Phytophthora cinnamomi emerged as a severe threat, causing root rot and decline in avocado trees. Fusarium solani and Fusarium oxysporum, known for their association with tropical fruit crops, were identified in the western parts of Antalya. Additionally, we have detected Neofusicoccum parvum, Lasiodiplodia theobromae, and Neopestalotiopsis rosae in collected samples from avocado trees. The identified pathogens exhibited varying levels of severity in branch canker and anthracnose on avocado branches and leaves. Furthermore, pathogenicity evaluations shed light on the potential of these pathogens to induce severe symptoms, emphasizing the urgency for effective control measures. The exploration of cultural and biological control strategies are crucial for mitigating the impact of branch canker, dieback, and anthracnose diseases, ensuring the sustainability of avocado cultivation in the region. © The Author(s) 2024.</t>
  </si>
  <si>
    <t>Journal of Plant Diseases and Protection</t>
  </si>
  <si>
    <t>scopus_export_Sep 17-2026_64f2de15-f34e-4ffa-b356-5d490b5ac07b.csv | scopus_export_Sep 18-2026_8f28b456-611a-478a-9b87-bb5029e250f3.csv</t>
  </si>
  <si>
    <t>A0010</t>
  </si>
  <si>
    <t>Expression of several Phytophthora cinnamomi putative RxLRs provides evidence for virulence roles in avocado</t>
  </si>
  <si>
    <t>Joubert M.; Backer R.; Engelbrecht J.; Van Den Berg N.</t>
  </si>
  <si>
    <t>10.1371/journal.pone.0254645</t>
  </si>
  <si>
    <t>Persea; Phylogeny; Phytophthora; Virulence; fungal protein; RxLR protein; unclassified drug; amino acid sequence; Article; avocado; controlled study; fungal genome; fungal virulence; gene; gene expression; gene expression profiling; nonhuman; nucleotide sequence; phylogeny; Phytophthora cinnamomi; Phytophthora root rot; root rot; RxLR gene; parasitology; pathogenicity; Persea; Phytophthora; virulence</t>
  </si>
  <si>
    <t>Phytophthora cinnamomi is a plant pathogenic oomycete that causes Phytophthora root rot of avocado (PRR). Currently, there is a limited understanding of the molecular interactions underlying this disease. Other Phytophthora species employ an arsenal of effector proteins to manipulate host physiology, of which the RxLR effectors contribute to virulence by interfering with host immune responses. The aim of this study was to identify candidate RxLR effectors in P. cinnamomi that play a role in establishing PRR, and to infer possible functions for these effectors. We identified 61 candidate RxLR genes which were expressed during infection of a susceptible avocado rootstock. Several of these genes were present in multiple copies in the P. cinnamomi genome, suggesting that they may contribute to pathogen fitness. Phylogenetic analysis of the manually predicted RxLR protein sequences revealed 12 P. cinnamomi RxLRs that were related to characterised effectors in other Phytophthora spp., providing clues to their functions in planta. Expression profiles of nine more RxLRs point to possible virulence roles in avocado-highlighting a way forward for studies of this interaction. This study represents the first investigation of the expression of P. cinnamomi RxLR genes during the course of avocado infection, and puts forward a pipeline to pinpoint effector genes with potential as virulence determinants, providing a foundation for the future functional characterization of RxLRs that contribute to P. cinnamomi virulence in avocado. © 2021 Joubert et al. This is an open access article distributed under the terms of the Creative Commons Attribution License, which permits unrestricted use, distribution, and reproduction in any medium, provided the original author and source are credited.</t>
  </si>
  <si>
    <t>PLoS ONE</t>
  </si>
  <si>
    <t>A0011</t>
  </si>
  <si>
    <t>First Record of Colletotrichum anthrisci Causing Anthracnose on Avocado Fruits in Chile</t>
  </si>
  <si>
    <t>Bustamante M.I.; Osorio-Navarro C.; Fernández Y.; Bourret T.B.; Zamorano A.; Henríquez-Sáez J.L.</t>
  </si>
  <si>
    <t>10.3390/pathogens11101204</t>
  </si>
  <si>
    <t>etiology; Persea americana; postharvest disease; streptomycin; anthracnose; Article; avocado; Colletotrichum; conidium; controlled study; DNA extraction; DNA sequencing; fungus isolation; mycelial growth; nonhuman; phylogeny; sporogenesis; temperature</t>
  </si>
  <si>
    <t>Anthracnose caused by Colletotrichum species is one of the most frequent and damaging fungal diseases affecting avocado fruits (Persea americana Mill.) worldwide. In Chile, the disease incidence has increased over the last decades due to the establishment of commercial groves in more humid areas. Since 2018, unusual symptoms of anthracnose have been observed on Hass avocado fruits, with lesions developing a white to gray sporulation. Morphological features and multi-locus phylogenetic analyses using six DNA barcodes (act, chs-1, gapdh, his3, ITS, and tub2) allowed the identification of the causal agent as Colletotrichum anthrisci, a member of the dematium species complex. Pathogenicity was confirmed by inoculating healthy Hass avocado fruits with representative isolates, reproducing the same symptoms initially observed, and successfully reisolating the same isolates from the margin of the necrotic pulp. Previously, several Colletotrichum species belonging to other species complexes have been associated with avocado anthracnose in other countries. To our knowledge, this is the first record of C. anthrisci and of a species of the dematium species complex causing anthracnose on avocado fruits in Chile and worldwide. © 2022 by the authors.</t>
  </si>
  <si>
    <t>Pathogens</t>
  </si>
  <si>
    <t>A0012</t>
  </si>
  <si>
    <t>First Report of Fusarium equiseti Causing Postharvest Fruit Rot of Avocado in Türkiye</t>
  </si>
  <si>
    <t>Bozoğlu T.; Derviş S.; Özer G.; Türkkan M.</t>
  </si>
  <si>
    <t>10.1111/jph.70131</t>
  </si>
  <si>
    <t>Fusarium equiseti; Persea americana; postharvest fruit rot; rpb2 phylogeny; stem-end rot; tef1; Black Sea; amplification; fruit; inoculation; molecular analysis; phylogeny; RNA; root rot</t>
  </si>
  <si>
    <t>In September 2024, postharvest fruit rot, including stem-end rot, was observed on avocado in the Altınordu district of Ordu province, located in the Eastern Black Sea Region of Türkiye. A market survey revealed that 5% of fruit exhibited fruit rot symptoms, a subset of which displayed stem-end rot symptoms, including brown to black lesions extending into the mesocarp, shrivelling and fungal mycelium growth. Fusarium equiseti was identified as the causal agent through morphological characterisation and molecular analysis using PCR amplification and sequencing of translation elongation factor 1-alpha (tef1) and RNA polymerase II second largest subunit (rpb2) gene sequences, including phylogenetic analysis. Artificial inoculation and subsequent re-isolation confirmed Koch's postulates, verifying F. equiseti as the causal pathogen. This is the first report of F. equiseti causing both fruit rot and stem-end rot on avocado in Türkiye, highlighting the need for improved postharvest disease management strategies to reduce economic losses in Türkiye's avocado industry. © 2025 The Author(s). Journal of Phytopathology published by Wiley-VCH GmbH.</t>
  </si>
  <si>
    <t>Journal of Phytopathology</t>
  </si>
  <si>
    <t>scopus_export_Sep 17-2026_64f2de15-f34e-4ffa-b356-5d490b5ac07b.csv | scopus_export_Sep 18-2026_4e658477-f683-499d-a469-81d37efaa96b.csv</t>
  </si>
  <si>
    <t>A0013</t>
  </si>
  <si>
    <t>First report of Phytophthora cinnamomi causing avocado root rot in India</t>
  </si>
  <si>
    <t>Madhu G.S.; Rani A.T.; Muralidhara B.M.; Rajendiran S.; Sriram S.; Venkataravanappa V.</t>
  </si>
  <si>
    <t>10.1007/s42161-023-01471-5</t>
  </si>
  <si>
    <t>Avocado; Phytophthora cinnamomi; Root rot</t>
  </si>
  <si>
    <t>[No abstract available]</t>
  </si>
  <si>
    <t>Journal of Plant Pathology</t>
  </si>
  <si>
    <t>A0014</t>
  </si>
  <si>
    <t>Four new fungal pathogens causing avocado dieback in Brazil</t>
  </si>
  <si>
    <t>Silva T.F.; Pimentel Duarte J.L.; Vélez-Olmedo J.B.; Anderson dos Santos Vieira W.; Bassay Blum L.E.; Pinho D.B.</t>
  </si>
  <si>
    <t>10.1016/j.cropro.2025.107168</t>
  </si>
  <si>
    <t>Canker; Diagnosis; Persea americana; Phylogeny; Plant disease complex; Brazil; dicotyledon; dieback; etiology; fungal disease; fungus; pathogenicity; phylogeny; RNA</t>
  </si>
  <si>
    <t>Dieback is a disease with a complex etiology that results in the death of branches or entire plants in avocado producing regions. Losses associated with this disease have already been reported in the main producing regions of Brazil. The etiological agents of this disease are different and an association between fungi is often observed. This study aimed to identify fungi associated with avocado dieback in Brazil. Fungal isolates were collected from symptomatic avocado stems from orchards in São Paulo state. Identification was based on phenotypic characteristics and multilocus phylogenetic analysis of the translation elongation factor 1-alpha, RNA polymerase II, β-tubulin, actin, the internal transcribed spacer (ITS) region of rDNA, and the large subunit ribosomal RNA regions, according to the previously identified genus. The pathogenicity test confirmed that all species were pathogenic to avocado seedlings and fruits. This is the first report of Neopestalotiopsis arecacearum, Neocosmospora bostrycoides, Nectria pseudotrichia and Cytospora viridistroma causing avocado dieback in Brazil and worldwide. Identifying emerging pathogens that cause losses is crucial for avocado-producing countries with different climatic conditions, as it helps understand the geographic distribution of these phytopathogens and the conditions that favor their development. © 2025 Elsevier Ltd</t>
  </si>
  <si>
    <t>Crop Protection</t>
  </si>
  <si>
    <t>scopus_export_Sep 18-2026_6573fc91-2043-414f-a3dc-1112c7ddea01.csv</t>
  </si>
  <si>
    <t>A0015</t>
  </si>
  <si>
    <t>Fungal Pathogens Associated with Aerial Symptoms of Avocado (Persea americana Mill.) in Tenerife (Canary Islands, Spain) Focused on Species of the Family Botryosphaeriaceae</t>
  </si>
  <si>
    <t>Hernández D.; García-Pérez O.; Perera S.; González-Carracedo M.A.; Rodríguez-Pérez A.; Siverio F.</t>
  </si>
  <si>
    <t>10.3390/microorganisms11030585</t>
  </si>
  <si>
    <t>canker; dieback; Lasiodiplodia brasiliensis; Neofusicoccum australe; Neofusicoccum cryptoaustrale; Neofusicoccum luteum; Neofusicoccum parvum; Neofusicoccum stellenboschiana; Persea americana; stem-end rot</t>
  </si>
  <si>
    <t>Fungi of the family Botryosphaeriaceae are considered responsible for various symptoms in avocado such as dieback, external necrosis of branches and inflorescences, cankers on branches and trunks, or stem-end rot of fruits. In recent years, these problems are becoming more frequent in avocado orchards in the Canary Islands (Spain). This work includes the characterization of fungal species involved in these diseases, which were isolated from avocado crops in Tenerife Island between 2018 and 2022. A total of 158 vegetal samples were collected, from which 297 fungal isolates were culture-isolated. Fifty-two of them were selected according to their morphological features as representative isolates of Botryosphaeriaceae, and their molecular characterization was carried out, sequencing the ITS1-2 region as well as the β-tubulin and the elongation factor 1-alpha genes. Five species of Botryosphaeriaceae were isolated, including Neofusicoccum australe, N. cryptoaustrale/stellenboschiana, N. luteum, N. parvum, and Lasiodiplodia brasiliensis. This is the first time that L. brasiliensis has been associated with avocado dieback and that N. cryptoaustrale/stellenboschiana has been cited in avocado causing symptoms of dieback and stem-end rot. However, it was not possible to assign our isolates unequivocally to N. cryptoaustrale or N. stellenboschiana even additionally using the rpb2 marker for their molecular characterization. Botryosphaeriaceae family seem to be involved in avocado dieback, in the premature fall of fruits during their development in the field and in post-harvest damage in Tenerife, but further studies are needed to clarify the fungal pathogens associated with symptoms in relation to phenological plant growth stages or less frequently observed. © 2023 by the authors.</t>
  </si>
  <si>
    <t>Microorganisms</t>
  </si>
  <si>
    <t>scopus_export_Sep 18-2026_96199bb3-e2ff-4aa3-a2d7-ec2db6aced85.csv</t>
  </si>
  <si>
    <t>A0016</t>
  </si>
  <si>
    <t>Fungal Species of Botryosphaeriaceae Associated With Avocado Dieback in Southern Spain</t>
  </si>
  <si>
    <t>Crespo M.; Guirado-Manzano L.; Sarmiento D.; Guirado E.; de Vicente A.; Fernández-Ortuño D.; Cazorla F.M.; Arrebola E.</t>
  </si>
  <si>
    <t>10.1111/ppa.70079</t>
  </si>
  <si>
    <t>aetiology; cankers; Lasiodiplodia sp.; Neofusicoccum spp.; pathogenicity; Persea americana; Granada [Nicaragua]; dieback; etiology; fungal disease; fungus; irrigation system; pathogenicity; symptom</t>
  </si>
  <si>
    <t>Avocado (Persea americana) has become one of the most important subtropical crops in southern Spain. In recent years, the scarcity of irrigation water has made this crop susceptible to opportunistic diseases. This sensitivity has been associated with a series of symptoms characterised by the death of branches, mummification of fruits, cankers and reddening of the vascular bundles. To identify the aetiology of the disease, surveys have been carried out on avocado farms in the most affected areas, including Málaga and Granada (southern Spain). The surveys were conducted from 2019 to 2022. A total of 252 fungal isolates were recovered from trees with symptoms of dieback disease. Of these isolates, 172 were initially identified by sequencing the rDNA internal transcribed spacer (ITS) region to identify potential pathogens compatible with the symptoms. Based on the number of isolates, the most prevalent were Neofusicoccum spp. (110 isolates) and Lasiodiplodia sp. (15 isolates), although some isolates of Diaporthe sp. (four isolates) and Colletotrichum sp. (eight isolates) were also identified. Pathogenicity experiments in plants, branches and fruits confirmed these fungi as possible causal agents as they reproduced the symptoms found in diseased avocado crops. The frequency of isolates associated with dieback symptoms, along with greater severity in the reproduced symptoms, shows Botryosphaeriaceae species as the main cause of dieback in avocado in southern Spain. The main objective of the present study is to elucidate the aetiology of the disease to establish the infection time and thereby lay the groundwork for designing control studies. © 2025 The Author(s). Plant Pathology published by John Wiley &amp; Sons Ltd on behalf of British Society for Plant Pathology.</t>
  </si>
  <si>
    <t>scopus_export_Sep 17-2026_64f2de15-f34e-4ffa-b356-5d490b5ac07b.csv | scopus_export_Sep 18-2026_96199bb3-e2ff-4aa3-a2d7-ec2db6aced85.csv</t>
  </si>
  <si>
    <t>A0017</t>
  </si>
  <si>
    <t>Genome assembly and annotation of Rugonectria rugulosa, a fungus associated with avocado (Persea americana cv. Hass) trunk canker in Colombia</t>
  </si>
  <si>
    <t>López J.D.R.; Chacón-Vargas K.; Clavijo-Buriticá D.C.; García-Merchán V.H.</t>
  </si>
  <si>
    <t>10.1128/mra.00512-26</t>
  </si>
  <si>
    <t>avocado; fungal genomics; genome assembly; Nectriaceae; plant pathogen; Rugonectria rugulosa; secondary metabolites; trunk canker; wilting; Article; avocado; Colombia; fungal genome; fungus; fungus isolation; genomics; nonhuman; phytopathogen; Rugonectria rugulosa</t>
  </si>
  <si>
    <t>Rugonectria rugulosa is a member of the family Nectriaceae associated with trunk canker diseases in woody plants, including avocado (Persea americana cv. Hass). Here, we report the 53 Mb draft genome assembly of a Colombian isolate, providing a genomic resource to investigate the biology and pathogenic potential of this species. Copyright © 2026 Rincón López et al.</t>
  </si>
  <si>
    <t>Microbiology Resource Announcements</t>
  </si>
  <si>
    <t>scopus_export_Sep 17-2026_64f2de15-f34e-4ffa-b356-5d490b5ac07b.csv | scopus_export_Sep 18-2026_6573fc91-2043-414f-a3dc-1112c7ddea01.csv</t>
  </si>
  <si>
    <t>A0018</t>
  </si>
  <si>
    <t>Identification and Pathogenicity of Botryosphaeriaceae, Colletotrichum, and Phytophthora Species Associated with Avocado Diseases in Italy</t>
  </si>
  <si>
    <t>Linaldeddu B.T.; Bregant C.; Muscas J.; Maddau L.; Vecchio L.; Polizzi G.; Aiello D.</t>
  </si>
  <si>
    <t>10.3390/agriculture16101035</t>
  </si>
  <si>
    <t>Botryosphaeriaceae; co-infections; holistic diagnosis; oomycetes</t>
  </si>
  <si>
    <t>With the rapid expansion of avocado cultivation in southern Italy, growers have had to deal with the emergence of new diseases often caused by invasive and polyphagous pathogens responsible for leaf spot, branch cankers, dieback and fruit and root rot. Given the severity of these emerging diseases, a study was conducted in the main avocado growing areas in Sardinia and Sicily (Italy) to isolate and characterize the causal agents. Specifically, a total of 430 symptomatic leaf, fruit, branch, stem and root samples were collected and examined. Isolations performed on both non-selective and selective growth media yielded 22 species (fungi and oomycetes) belonging to the genera Botryosphaeria, Colletotrichum, Diplodia, Dothiorella, Macrophomina, Neofusicoccum and Phytophthora, including 14 new host–pathogen records in Italy. Notably, Neofusicoccum australe, Phytophthora cinnamomi and Phytophthora palmivora emerged as the main pathogens involved in the emerging avocado diseases. The identified pathogens were often isolated simultaneously from the same plants, which exhibited a complex of symptoms. Pathogenicity bioassays have helped to clarify the differences in aggressiveness among the different species and their specificity towards the different plant organs. The results achieved suggest that avocado orchards’ productivity and profitability is threatened by a plethora of unrelated pathogens whose control represents a major challenge for the success of this crop in Italy. © 2026 by the authors.</t>
  </si>
  <si>
    <t>Agriculture (Switzerland)</t>
  </si>
  <si>
    <t>A0019</t>
  </si>
  <si>
    <t>Identification and Pathogenicity of Fungal Pathogens Associated with Stem End Rots of Avocado Fruits in Kenya</t>
  </si>
  <si>
    <t>Wanjiku E.K.; Waceke J.W.; Wanjala B.W.; Mbaka J.N.</t>
  </si>
  <si>
    <t>10.1155/2020/4063697</t>
  </si>
  <si>
    <t>Losses associated with stem end rot (SER) of avocado fruits have been reported in all avocado growing regions of the world. In Kenya, mature avocado fruits present SER symptoms during storage and marketing, but the disease causal agent(s) has not been established. This study aimed to identify the fungal pathogen(s) associated with avocado SER in Kenya and evaluate its pathogenicity. Fungal isolates were collected from symptomatic avocado fruits from randomly selected orchards and major markets within Murang'a County, a major avocado growing region in Kenya, between September 2017 and March 2018. A total of 207 and 125 fungal isolates, recovered from orchards and major markets, respectively, were identified morphologically and further confirmed by molecular techniques. The identified isolates were Lasiodiplodia theobromae (39.8%), Neofusicoccum parvum (24.4%), Nectria pseudotrichia (18.4%), Fusarium solani (7.2%), F. oxysporum (5.1%), F. equiseti (3.9%), and Geotricum candidum (1.2%). Geotricum candidum was exclusively recovered from fruits from the market. In the pathogenicity test, L. theobromae, N. parvum, and N. pseudotrichia caused the most severe SER symptoms. Consequently, they were considered to be the major pathogens of SER of avocado fruits in Kenya. To our knowledge, this is the first report of SER pathogen of avocado fruits in Kenya. Given the significant contribution of avocado fruits to household income and foreign exchange in Kenya, this information is significant to further develop management strategies of postharvest loss of avocado fruits in Kenya.  © 2020 E. K. Wanjiku et al.</t>
  </si>
  <si>
    <t>International Journal of Microbiology</t>
  </si>
  <si>
    <t>A0020</t>
  </si>
  <si>
    <t>Identification and pathogenicity of fungal pathogens on avocado 034 in Vietnam</t>
  </si>
  <si>
    <t>Lieu M.D.; Huynh T.B.T.; Nguyen T.B.; Phuong T.V.; Dang T.K.T.; Nguyen T.H.</t>
  </si>
  <si>
    <t>10.26656/fr.2017.9(5).332</t>
  </si>
  <si>
    <t>Avocado; Fungal pathogen; Pathogenicity; Post-harvest; Article; Aspergillus flavus; Aspergillus niger; avocado; Colletotrichum; fungal pathogen; Fusarium solani; gene sequence; Geotrichum; growth rate; infectious agent; Lasiodiplodia theobromae; microscopy; Mucor; mycelium; nonhuman; pathogenicity; relative humidity; Sanger sequencing; soybean; Viet Nam</t>
  </si>
  <si>
    <t>Avocado (Persea americana Mill.) is a popular fruit because of its high nutritional content and high economic value. However, this fruit is susceptible to microbial invasion, especially diseases caused by fungi, causing heavy post-harvest losses. The study aimed to determine the origin of fungal pathogens through isolation and identification based on microscopic morphological characteristics, pathogenicity tests, and gene sequences. Significant fungal pathogens causing spoilage diseases on avocados were identified by isolating spoiled avocado samples from five regions in Lam Dong province. Samples of avocado 034 (Persea americana Mill. Cv. 034) with natural disease symptoms were collected with 138 representatives of six genera, including Lasiodiplodia spp., Colletotrichum spp., Aspergillus spp., Fusarium spp., Geotrichum spp., and Mucor spp. The growth rate of mycelium showed the genus Mucor spp. had the fastest growth on PDA medium at 30oC, followed by the genera Lasiodiplodia spp., Colletotrichum spp., Aspergillus spp., Fusarium spp. and Geotrichum spp. However, the pathogenicity test evaluation indicated that the genera causing the most severe damage on avocados were Lasiodiplodia spp and Colletotrichum spp., with 77.78% and 67.90% of the spoilage rate, respectively. Next were the genera Fusarium spp., Aspergillus spp., Geotrichum spp., and Mucor spp., with damage ranging from 40.74% to 42.59%. © 2025 The Authors.</t>
  </si>
  <si>
    <t>Food Research</t>
  </si>
  <si>
    <t>A0021</t>
  </si>
  <si>
    <t>Identification of Phytophthora cinnamomi CRN effectors and their roles in manipulating cell death during Persea americana infection</t>
  </si>
  <si>
    <t>Midgley K.A.; van den Berg N.; Backer R.; Swart V.</t>
  </si>
  <si>
    <t>10.1186/s12864-024-10358-3</t>
  </si>
  <si>
    <t>Alleles; Crinkler effectors; Hemibiotroph; In silico; Molecular characterization; Phytophthora; Plant-pathogen interactions; Protein prediction; Cell Death; Persea; Phytophthora; Plant Diseases; allele; Article; avocado; cell death; controlled study; gene expression profiling; host range; infection; nonhuman; phylogenetic tree; phylogeny; Phytophthora cinnamomi; prediction; protein structure; reverse transcription polymerase chain reaction; RNA sequence; RNA sequencing; Sanger sequencing; single nucleotide polymorphism; validation process; genetics; microbiology; pathogenicity; Persea; physiology; Phytophthora; plant disease</t>
  </si>
  <si>
    <t>The oomycete Phytophthora cinnamomi is a devastating plant pathogen with a notably broad host range. It is the causal agent of Phytophthora root rot (PRR), arguably the most economically important yield-limiting disease in Persea americana (avocado). Despite this, our understanding of the mechanisms P. cinnamomi employs to infect and successfully colonize avocado remains limited, particularly regarding the pathogen’s ability to maintain its biotrophic and necrotrophic lifestyles during infection. The pathogen utilises a large repertoire of effector proteins which function in facilitating and establishing disease in susceptible host plants. Crinkling and necrosis effectors (CRN/Crinklers) are suspected to manipulate cell death to aid in maintenance of the pathogens biotrophic and necrotrophic lifestyles during different stages of infection. The current study identified 25 P. cinnamomi CRN effectors from the GKB4 genome using an HMM profile and assigned putative function to them as either cell death inducers or suppressors. Function was assigned to 10 PcinCRNs by analysing their RNA-seq expression profiles, relatedness to other functionally characterised Phytophthora CRNs and tertiary protein predictions. The full-length coding sequences for these PcinCRNs were confirmed by Sanger sequencing, six of which were found to have two divergent alleles. The presence of alleles indicates that the proteins encoded may perform contradicting functions in cell death manipulation, or function in different host plant species. Overall, this study provides a foundation for future research on P. cinnamomi infection and cell death manipulation mechanisms. © The Author(s) 2024.</t>
  </si>
  <si>
    <t>BMC Genomics</t>
  </si>
  <si>
    <t>A0022</t>
  </si>
  <si>
    <t>Identification, pathogenicity and distribution of the causal agents of dieback in avocado orchards in Spain</t>
  </si>
  <si>
    <t>Arjona-Girona I.; Ruano-Rosa D.; López-Herrera C.J.</t>
  </si>
  <si>
    <t>10.5424/sjar/2019171-13561</t>
  </si>
  <si>
    <t>Botryosphaeriaceae; Colletotrichum; Lasiodiplodia; Neofusicoccum; Persea americana</t>
  </si>
  <si>
    <t>An increased incidence of dieback from branches in several avocado orchards in southern Spain was observed in 2014. Surveys were conducted from May to October 2014, sampling the affected branches to isolate the causal agents. A total of 68 fungal isolates, recovered from ten avocado orchards, were identified, by morphological characterisation and DNA sequencing, as belonging to the genera: Neofusicoccum parvum (50%), Colletotrichum gloeosporioides (17.6%), Neofusicoccum luteum (16.2%), Neofusicoccum australe (13.2%), Neofusicoccum mediterraneum (1.5%) and Lasiodiplodia theobromae (1.5%). A decreasing level of virulence in artificial inoculations on avocado plants was observed in N. parvum, N. luteum, N. mediterraneum, N. australe, C. gloeosporioides and L. theobromae, there were significant differences among N. parvum and the rest of species of this genus, and significant differences were only observed between N. luteum and C. gloeosporioides. The geographical distribution of N. parvum and N. Luteum covers different areas, while C. gloeosporioides and N. australe are located only in the areas around Benamocarra and Vélez-Málaga (southern Spain), while N. mediterraneum and L. theobromae appear only occasionally. This is the first study of avocado branch cankers in Spain which identifies the causal agents and establishes their pathogenicity groups, with N. parvum as the most important causal agent of avocado dieback in this area. © 2019 INIA.</t>
  </si>
  <si>
    <t>Spanish Journal of Agricultural Research</t>
  </si>
  <si>
    <t>A0023</t>
  </si>
  <si>
    <t>Integrated proposal for management of root rot caused by Phytophthora cinnamomi in avocado cv. Hass crops</t>
  </si>
  <si>
    <t>Ramírez-Gil J.G.; Morales-Osorio J.G.</t>
  </si>
  <si>
    <t>10.1016/j.cropro.2020.105271</t>
  </si>
  <si>
    <t>Biological control; New alternatives; Reduction of disease; Sustainable diseases management; Bacillus sp.; Basidiomycota; Bovinae; Persea americana; Phytophthora cinnamomi; Trichoderma; alga; biocontrol agent; biological control; crop plant; disease control; fungicide; fungus; integrated approach; microorganism; pathogen; pesticide application; root rot; symptom</t>
  </si>
  <si>
    <t>Phytophthora cinnamomi is the most important pathogen in avocado crops that causes the disease named avocado root rot (PRR). This disease affects the root system and induces multiple symptoms that end with plant death and causes large economic losses. PRR management is based almost exclusively on the use of fungicides (metalaxyl and phosphites). This situation led to inefficient management practices with apparently satisfactory results only in short periods. The objective of this work was to evaluate different PRR management practices under in vitro, net house and field conditions. The initial part of the study was carried out under in vitro and net house conditions evaluating different types of ions (boron, zinc and manganese chelate), the auxin α naphthaleneacetic, fungicides (potassium phosphite, fosetyl aluminium and metalaxyl) and microorganisms associated with biological control of diseases. For field conditions, the most promising strategies were selected, which included fungicide use (rotation of metalaxyl and phosphites), organic matter in the form of residues of vegetables and mushrooms, use of foliar (manganese) and soil (calcium, magnesium, phosphorus, and silicon) ions, additions of bovine manure, beneficial microorganisms (Rizoglomus fasciculatum, Trichoderma sp., and Bacillus sp.), edaphic application of auxin and an energy source (sucrose). Results indicated that individual control methods of PRR are not sustainable over time. However, the implementation of a disease integrated management program including several strategies of control proved to be effective for PRR. At the same time that PRR was satisfactorily managed, the economic sustainability was achieved and it was possible to reduce the reliance on phosphonate applications. © 2020 Elsevier Ltd</t>
  </si>
  <si>
    <t>A0024</t>
  </si>
  <si>
    <t>Integrated Strategies to Reduce Botryosphaeriaceae-Associated Dieback in Avocado Under Mediterranean Climatic Stress</t>
  </si>
  <si>
    <t>Guirado-Manzano L.; Santamaría-Ortega J.F.; Sarmiento D.; Guirado E.; Pulido-Ruiz M.; de Vicente A.; Fernández-Ortuño D.; Cazorla F.M.; Arrebola E.</t>
  </si>
  <si>
    <t>10.3390/horticulturae12060673</t>
  </si>
  <si>
    <t>autumn pruning; avocado; eco-friendly control; gibberellic acid; integrated disease management; Neofusicoccum; potassium silicate</t>
  </si>
  <si>
    <t>Avocado (Persea americana Mill.) is gaining economic relevance in Mediterranean regions such as southern Spain. In recent years, production has been severely affected by dieback caused by Botryosphaeriaceae species, a problem intensified under drought conditions. Conventional chemical control has shown limited effectiveness due to the scarce availability of fungicides and the difficulty of targeting pathogens colonizing lignified tissues. This study therefore evaluated eco-friendly control strategies comparing their performance with conventional fungicides and complementary cultural practices within an integrated management framework. Varietal tolerance significantly influenced symptom development and yield, with younger trees (1–2 years old) being more susceptible. Among the tested treatments, potassium silicate (K-Link) was associated with moderate reduction in disease intensity, with decreases in disease index ranging from 5–10%. Other products, including the biostimulant Brotolom® SOILFORCE (BTL) and the disinfectant Huwa San® TR50, also showed reductions in disease severity (approximately 5% and up to 14%, respectively), although their effects varied depending on cultivar and season. Cultural practices such as autumn pruning reduced symptoms and improved yield but required greater economic and labor inputs. In contrast, gibberellic acid was highly effective, reducing flowering, improving canopy balance, decreasing dieback incidence by 28%, and increasing yield by 34%. Integrating eco-friendly products, particularly potassium silicate, with targeted cultural practices and gibberellic acid application provides effective and sustainable tools to mitigate avocado dieback under Mediterranean conditions. © 2026 by the authors.</t>
  </si>
  <si>
    <t>A0025</t>
  </si>
  <si>
    <t>Lasiodiplodia theobromae disease symptom development in young avocado (Persea americana L.) plants depends on the inoculation method</t>
  </si>
  <si>
    <t>Rodríguez-Gálvez E.; Haro-Diaz C.; Maza-Aguirre S.; Canahuire-Castillo F.; Sullón-Saucedo J.; Deising H.B.</t>
  </si>
  <si>
    <t>10.1007/s40858-025-00700-9</t>
  </si>
  <si>
    <t>Avocado; External and internal necrosis; Lasiodiplodia theobromae; Persea americana; Symptom development; Virulence</t>
  </si>
  <si>
    <t>Lasiodiplodia theobromae is a pathogenic fungus of more than 500 plant species, including avocado (Persea americana Mill.). The global production volume of avocado exceeded 911,000 metric tons in 2023. Although detailed quantitative surveys of yield losses caused by L. theobromae are not available for most avocado-producing regions, estimates indicate that this pathogen is associated with stem-end rot disease in 30-35% of plots located in the Department of Antioquia in Colombia (Ramírez-Gil et al. Heliyon 7: e05905, 2021), suggesting an enormous economic impact. As yield losses strongly depend on the virulence of isolates, a reliable method for determining their aggressiveness is indispensable for initiating disease control measures. In this study, we compared progression of external and internal necrosis caused by the aggressive L. theobromae isolate LA-VLCA3 inoculated into wounded middle parts of the stem and onto excised apices. Irrespective of the inoculation method, internal progression of necrosis preceded that of external necrosis. Spreading of external and internal necrosis was significantly more severe in plants inoculated at the apex than in mid-stem inoculated plants. We conclude that apex inoculation causes stronger symptoms and is therefore better suited to compare virulence of isolates than mid-stem inoculation. © The Author(s) 2025.</t>
  </si>
  <si>
    <t>Tropical Plant Pathology</t>
  </si>
  <si>
    <t>A0026</t>
  </si>
  <si>
    <t>Multigene phylogeny and diversity of Phytophthora and Phytopythium species associated with avocado root rot in India and development of a point-of-care LAMP assay for Phytophthora cinnamomi and Phytopythium vexans</t>
  </si>
  <si>
    <t>Madhu G.S.; Rani A.T.; Muralidhara B.M.; Deepak G.N.; Rajendiran S.; Ayyandurai M.; Venkataravanappa V.</t>
  </si>
  <si>
    <t>10.1016/j.pmpp.2025.102735</t>
  </si>
  <si>
    <t>Avocado; LAMP; Phytophthora cinnamomi; Phytophthora species; Phytopythium vexans</t>
  </si>
  <si>
    <t>Avocado root rot, predominantly caused by Phytophthora cinnamomi poses a major threat to avocado cultivation worldwide. However, the potential role of other Phytophthora and Phytophthora-like oomycete species in avocado decline remains largely unexplored. To address this knowledge gap, surveys were conducted across avocado orchards in the Western Ghats region of Karnataka, Kerala, and Tamil Nadu, India, to assess the diversity and pathogenicity of Phytophthora and Phytopythium species associated with root rot. Oomycete isolates were recovered from symptomatic root samples collected from 42 avocado orchards. Morphological characterization, coupled with multilocus sequence analysis targeting the internal transcribed spacer (ITS) region, cytochrome c oxidase subunit 1 (COX1), and β-tubulin (β-tub) genes, facilitated species identification. Furthermore, pathogenicity tests confirmed the virulence of the isolates. Among the surveyed orchards, Phytophthora species were isolated from 26 orchards, with P. cinnamomi being the most frequently detected, occurring in 22 orchards. Additionally, P. tropicalis was identified in 2 orchards, while P. nicotianae and P. kelmanii were each found in 1 orchard. In parallel, 9 Phytopythium isolates were recovered, with Phytopythium vexans detected in 7 orchards and Phytopythium chamaehyphon in 2 orchards. Among all isolates, P. cinnamomi exhibited the highest virulence, underscoring its primary role in avocado root rot. To facilitate early and accurate detection of the predominant pathogens, Phytophthora cinnamomi and Phytopythium vexans, in infected plants and nursery seedlings, a loop-mediated isothermal amplification (LAMP) assay was developed. The sensitivity of LAMP assay detection limits for P. cinnamomi was 25 pg, while for Pp. vexans was detected at 50 pg. This assay provides a rapid, highly sensitive, and reliable diagnostic tool, strengthening disease surveillance and management strategies for avocado cultivation in the region. This study highlighted the novel host record of P. Kelmanii and Pp. chamaehyphon in avocado root rot and Pp. vexans first report in India. © 2025 Elsevier Ltd</t>
  </si>
  <si>
    <t>Physiological and Molecular Plant Pathology</t>
  </si>
  <si>
    <t>A0027</t>
  </si>
  <si>
    <t>Penetration by Botryosphaeriaceae species in avocado, guava and persimmon fruit during postharvest</t>
  </si>
  <si>
    <t>Navarro B.L.; Edwards Molina J.P.; Nogueira Júnior A.F.</t>
  </si>
  <si>
    <t>10.1111/jph.13055</t>
  </si>
  <si>
    <t>Botryosphaeria dothidea; Diospyros kaki; Lasiodiplodia pseudotheobromae; Neofusicoccum parvum; Persea americana; postharvest diseases; Psidium guajava; scanning electron microscopy; Botryosphaeria dothidea; Botryosphaeriaceae; Diospyros; Diospyros kaki; Dothidea; Lasiodiplodia; Persea americana; Psidium guajava; aggression; disease control; fruit; fungus; host specificity; scanning electron microscopy; stomata</t>
  </si>
  <si>
    <t>Botryosphaeriaceae species have a wide host range and a worldwide distribution. These fungal species can colonize several plant organs, such as the trunk, leaves and fruit. Some Botryosphaeriaceae species cause important diseases on persimmon, avocado and guava fruit. However, there is a lack of information regarding the mechanisms of penetration by Botryosphaeriaceae species on these tropical and subtropical fruits. This study aimed to better understand the mechanisms involved in fungal penetration, host specificity and aggressiveness of Botryosphaeria dothidea, Lasiodiplodia pseudotheobromae and Neofusicoccum parvum on avocado (Persea americana), guava (Psidium guajava) and persimmon (Diospyros kaki) fruit. Scanning electron microscopy (SEM) image analysis showed that in avocado fruit, the three studied Botryosphaeriaceae species penetrated through lenticels. In guava fruit, penetration through stomata was verified for Botryosphaeria dothidea and Neofusicoccum parvum. In persimmon fruit, an appressoria-like structure was observed for B. dothidea, which suggests direct penetration. Disease incidence in wounded fruit was 24% higher than in non-wounded fruit. L. pseudotheobromae and N. parvum showed differences in aggressiveness in guava fruit. The longest incubation period was observed for N. parvum inoculated on guava, with an average of 4.5 days, and the shortest incubation period was verified for B. dothidea inoculated on avocado, with an average of 2.8 days. The area under the disease progress curve (AUDPC) did not differ between Botryosphaeriaceae species on avocado, whereas on guava and persimmon fruit, the AUDPC was lower for B. dothidea. The information regarding penetration mechanisms and aggressiveness is important to improve postharvest disease control strategies. © 2021 The Authors. Journal of Phytopathology published by Wiley-VCH GmbH</t>
  </si>
  <si>
    <t>A0028</t>
  </si>
  <si>
    <t>Phylogenetic diversity and pathogenicity of Colletotrichum species associated with avocado anthracnose in Chile</t>
  </si>
  <si>
    <t>Bustamante M.I.; Fernández Y.; Navarro C.O.; Cárdenas C.; Bourret T.B.; Eskalen A.; Henríquez-Sáez J.L.</t>
  </si>
  <si>
    <t>10.36253/phyto-16790</t>
  </si>
  <si>
    <t>Etiology; Persea americana; postharvest disease</t>
  </si>
  <si>
    <t>Anthracnose, caused by Colletotrichum species, is a major disease of avocado (Persea americana) that significantly reduces fruit quality and export potential in Chile. Colletotrichum species associated with this disease were identified and their pathogenicity to avocado was assessed. In the summer of 2018, healthy fruits (n = 1,335) were sampled from three commercial groves located in the Metropolitan, O’Higgins and Valparaíso regions of Chile, and from a non-commercial grove and local markets. Fruits were stored until symptoms developed, indicating anthracnose incidence in commercial groves ranging from 10 to 50%. A total of 146 fungal isolates were obtained from symptomatic fruit and were initially identified as Colletotrichum spp. Fifty representative isolates were further identified through multilocus phylogenetic analyses. Ten species belonging to four species complexes were identified. Colletotrichum cf. cigarro was the most frequent taxon (n = 17), followed by C. pyricola (n = 9), C. gloeosporioides (n = 6), C. jiangxiense (n = 5), C. karsti (n = 4), C. anthrisci (n = 3), C. brassicicola (n = 3), C. laurosilvaticum (n = 1), C. fructicola (n = 1), and C. perseae (n = 1). Pathogenicity tests reproduced anthracnose symptoms in inoculated fruits, whereas control fruits remained symptomless, and revealed differences in virulence among isolates and species. This study provides the first report of C. brassicicola, C. laurosilvaticum and C. pyricola as causal agents of avocado anthracnose, highlights the diversity of Colletotrichum species in Chilean avocado groves, and provides insights for improved management strategies for avocado anthracnose. © 2026 Author(s). This is an open access, peer-reviewed article published by Firenze University Press (https://www.fupress.com) and distributed, except where otherwise noted, under the terms of the CC BY 4.0 License for content and CC0 1.0 Universal for metadata.</t>
  </si>
  <si>
    <t>Phytopathologia Mediterranea</t>
  </si>
  <si>
    <t>A0029</t>
  </si>
  <si>
    <t>Phytophthora cinnamomi Populations Affecting Avocado in California Show Low Differentiation, Phenotypic Variability, and Introductions from Mexico</t>
  </si>
  <si>
    <t>Shands A.C.; Mondragón-Flores A.; Valencia V.; Hua V.; Cauldron N.C.; Grünwald N.J.; Fernández-Pavía S.P.; Manosalva P.M.</t>
  </si>
  <si>
    <t>10.1094/MPMI-08-24-0101-R</t>
  </si>
  <si>
    <t>oomycete; Phytophthora root rot; ploidy; population biology; potassium phosphite; California; Genetic Variation; Mexico; Persea; Phenotype; Phylogeny; Phytophthora; Plant Diseases; Plant Roots; California; genetic variation; genetics; Mexico; microbiology; parasitology; pathogenicity; Persea; phenotype; phylogeny; physiology; Phytophthora; plant disease; plant root</t>
  </si>
  <si>
    <t>Phytophthora root rot (PRR), caused by Phytophthora cinnamomi, is one of the most devastating avocado diseases worldwide. We previously reported a group of genetically distinct, more virulent, and less fungicide-sensitive isolates corresponding to the A2 clade II clonal population in southern avocado-growing regions in California that may have originated from Mexico. To test this hypothesis, we assessed the genetic and phenotypic diversity of the California and Mexico avocado P. cinnamomi populations. We found that P. cinnamomi populations in these two locations belong to the two previously described A2 clades. Higher genetic differentiation was detected among Mexican isolates when compared with the populations from California; however, most Mexican isolates clustered with the California A2 clade II populations, providing evidence for the Mexican origin of these isolates in southern avocado-growing regions. With the exception of one diploid Mexican isolate, all isolates were estimated to be triploid based on inferred allele ratios. Despite clonality, wide phenotypic variability was detected within and among populations regarding growth rate, optimal growth temperature, fungicide sensitivity, and virulence. Interestingly, contrasting virulence patterns were found depending on the host and infected tissue utilized. This study reveals the adaptative capacity of clonal P. cinnamomi populations to local environments and control methods. Pathogen migration between Mexico and California was also inferred, which highlights a pathway that should be surveilled if further emergence is to be avoided. Monitoring and characterizing the P. cinnamomi populations is critical to developing effective and durable PRR control methods to ensure the sustainability of the avocado industry worldwide. © 2025 The Author(s).</t>
  </si>
  <si>
    <t>Molecular Plant-Microbe Interactions</t>
  </si>
  <si>
    <t>A0030</t>
  </si>
  <si>
    <t>Phytophthora root rot induces compositional and functional changes in avocado rhizosphere bacterial communities</t>
  </si>
  <si>
    <t>Alfaro-García R.G.; Vargas-Mejía P.; Patiño-Conde V.; Rebollar E.A.; Guerrero-Analco J.A.; Vega-Arreguín J.; Reverchon F.; Méndez-Bravo A.</t>
  </si>
  <si>
    <t>10.1093/femsmc/xtag025</t>
  </si>
  <si>
    <t>Dysbiosis; Metatranscriptomics; Persea americana; Phytophthora cinnamomi; Rhizobacteria; Stress response</t>
  </si>
  <si>
    <t>Understanding how plant pathogens modulate the rhizosphere microbiota is essential to integrated disease management. Here, the compositional and functional shifts in the avocado rhizosphere bacteriome induced by Phytophthora cinnamomi were assessed to identify bacterial taxa enriched in the symptomatic condition and elucidate the microbial functions modulated by the infection. Metabarcoding and metatranscriptomics analyses revealed that Phytophthora root rot (PRR) induced compositional shifts in bacterial communities, leading to the enrichment of members of MND1, RB41, and Nitrospira. Functional analysis showed that this enrichment might be due to the release of nutrients following root rot, as carbohydrate metabolism was stimulated in rhizobacterial communities of infected trees. Moreover, the relative abundance of transcripts from genes associated with stress response and cell signaling increased in some of the most active genera in the rhizosphere of PRR-symptomatic trees, suggesting their potential to mitigate the adverse effects of infection. These findings highlight the need to combine compositional and functional microbiome data to differentiate between taxa attracted by nutrient release and those contributing to the plant defense. The interactions of beneficial bacterial taxa with the pathogen should be further studied, as they may constitute promising biocontrol agents. © The Author(s) 2026. Published by Oxford University Press on behalf of FEMS. This is an Open Access article distributed under the terms of the Creative Commons Attribution License (https://creativecommons.org/licenses/by/4.0/), which permits unrestricted reuse, distribution, and reproduction in any medium, provided the original work is properly cited.</t>
  </si>
  <si>
    <t>FEMS Microbes</t>
  </si>
  <si>
    <t>A0031</t>
  </si>
  <si>
    <t>Phytophthora Root Rot Modifies the Composition of the Avocado Rhizosphere Microbiome and Increases the Abundance of Opportunistic Fungal Pathogens</t>
  </si>
  <si>
    <t>Solís-García I.A.; Ceballos-Luna O.; Cortazar-Murillo E.M.; Desgarennes D.; Garay-Serrano E.; Patiño-Conde V.; Guevara-Avendaño E.; Méndez-Bravo A.; Reverchon F.</t>
  </si>
  <si>
    <t>10.3389/fmicb.2020.574110</t>
  </si>
  <si>
    <t>Fusarium; Mortierella; Persea americana; rhizosphere microbial communities; root necrotizing fungi; chloramphenicol; DNA 16S; polyketide; RNA 16S; Acidobacteria; Actinobacteria; antibiotic resistance; Article; avocado; Bacillales; Bacillus; bacterial microbiome; bacterium identification; bacterium isolation; Bacteroidetes; Burkholderiales; Chloroflexi; defoliation; DNA extraction; Dothideomycetes; Firmicutes; Fusarium; gene amplification; gene sequence; health status; Helotiales; Lasiodiplodia; metagenomics; microbial community; microbial diversity; microbiome; morphotype; Mortierella; mycelial growth; nonhuman; pathogenicity; Phytophthora; Planctomycetes; plant growth; polymerase chain reaction; Proteobacteria; Pseudomonadales; quorum sensing; Rhizobiales; rhizosphere; root rot; Sanger sequencing; Scytalidium; Veracruz (state); Verrucomicrobia</t>
  </si>
  <si>
    <t>The structure and function of rhizosphere microbial communities are affected by the plant health status. In this study, we investigated the effect of root rot on the avocado rhizosphere microbiome, using 16S rDNA and ITS sequencing. Furthermore, we isolated potential fungal pathogens associated with root rot symptoms and assessed their pathogenic activity on avocado. We found that root rot did not affect species richness, diversity or community structure, but induced changes in the relative abundance of several microbial taxa. Root rot increased the proportion of Pseudomonadales and Burkholderiales in the rhizosphere but reduced that of Actinobacteria, Bacillus spp. and Rhizobiales. An increase in putative opportunistic fungal pathogens was also detected in the roots of symptomatic trees; the potential pathogenicity of Mortierella sp., Fusarium spp., Lasiodiplodia sp. and Scytalidium sp., is reported for the first time for the State of Veracruz, Mexico. Root rot also potentially modified the predicted functions carried out by rhizobacteria, reducing the proportion of categories linked with the lipid and amino-acid metabolisms whilst promoting those associated with quorum sensing, virulence, and antibiotic resistance. Altogether, our results could help identifying microbial taxa associated to the disease causal agents and direct the selection of plant growth-promoting bacteria for the development of biocontrol microbial consortia. © Copyright © 2021 Solís-García, Ceballos-Luna, Cortazar-Murillo, Desgarennes, Garay-Serrano, Patiño-Conde, Guevara-Avendaño, Méndez-Bravo and Reverchon.</t>
  </si>
  <si>
    <t>Frontiers in Microbiology</t>
  </si>
  <si>
    <t>A0032</t>
  </si>
  <si>
    <t>Phytophthora species causing root rot in avocado seedlings at Colombian nurseries: Morphological, molecular, and pathogenic analysis</t>
  </si>
  <si>
    <t>Palacios-Joya L.P.; Rodríguez-Arévalo K.A.; Martínez M.F.; Murcia-Riaño N.; Rodríguez-Mora D.M.</t>
  </si>
  <si>
    <t>10.17268/sci.agropecu.2025.010</t>
  </si>
  <si>
    <t>P. heveae; PCR; Persea americana; Phytophthora cinnamomi; wilting</t>
  </si>
  <si>
    <t>Expansion of avocado production areas in Colombia has led to an increased demand for plant propagation material. However, this expansion has exacerbated phytosanitary challenges, particularly root rot disease mainly associated with Phytophthora spp. Therefore, this study aimed to identify Phytophthora species associated with root rot in avocado seedlings within nurseries. Avocado plants exhibiting wilting symptoms were collected from nurseries in the departments of Quindío, Risaralda, and Valle del Cauca (Colombia). Segments of diseased roots were selected, cut, and surface-disinfected, before being planted on Potato Dextrose Agar (PDA) supplemented with antibiotics and fungicides. Microorganism identification was conducted using taxonomic keys and confirmed by molecular techniques employing the identification based on phylogenetic hypothesis, using ITS1-5.8s-ITS2 region encoding for rRNA. Isolates obtained from necrotic avocado roots were identified as P. cinnamomi and P. heveae. The pathogenicity of the isolates was confirmed in avocado seedlings through inoculation, resulting in symptom reproduction. Consequently, this study identified P. cinnamomi and P. heveae as causal agents of root rot in avocado during the nursery stage. © 2025 Universidad Nacional de Trujillo. All rights reserved.</t>
  </si>
  <si>
    <t>Scientia Agropecuaria</t>
  </si>
  <si>
    <t>scopus_export_Sep 17-2026_64f2de15-f34e-4ffa-b356-5d490b5ac07b.csv | scopus_export_Sep 18-2026_162c1d26-553e-41ee-8ea1-e9ecd3a7eea2.csv</t>
  </si>
  <si>
    <t>A0033</t>
  </si>
  <si>
    <t>Positive effect of lippia sidoides essential oil associated with carboxymethylcellulose in the control of anthracnose in avocado</t>
  </si>
  <si>
    <t>Antonia B.D.; de Oliveira J.; da Silva P.P.M.; dos Mares Biazotto A.; de Toledo N.M.V.; da Glória E.M.; Spoto M.H.F.</t>
  </si>
  <si>
    <t>10.1186/s43014-023-00209-1</t>
  </si>
  <si>
    <t>Alternative control; Colletotrichum gloeosporioides; Edible coatings; Persea americana; Postharvest; Coatings; Cold storage; Fruits; Microwave integrated circuits; Quality control; Alternative control; Antifungal activities; Carboxymethyl cellulose; Chemical products; Colletotrichum gloeosporioides; Edible coating; Lippia sidoides; Persea americana; Post-harvest treatments; Postharvest; Essential oils</t>
  </si>
  <si>
    <t>The fungus Colletotrichum gloeosporioides, which is the causal agent of anthracnose disease in green-skinned avocados, is responsible for significant postharvest fruit losses. In this context, strategies should be considered to avoid this problem. The use of essential oil (EO) can represent an alternative to contribute to antifungal activity, avoiding the use of chemical products, as their indiscriminate use can have harmful effects on human health. It is known that essential oil (EO) may exhibit antifungal activity and can be used as an alternative to chemical products. Therefore, the potential of using Lippia sidoides EO to control this fungus was investigated through in vitro evaluation (MIC and EC50) on C. gloeosporioides isolated from avocados. Furthermore, the potential of incorporating this oil with carboxymethylcellulose (CMC) for postharvest treatment in avocados was assessed in vivo to control anthracnose and maintain their physicochemical and sensory quality. The EO from L. sidoides demonstrated a MIC of 125 μl L−1 and an EC50 of 46.83 μl L−1 against this pathogen. The results indicated that the CMC edible coating associated with L. sidoides EO exhibited a positive effect on fruit quality during cold storage. In terms of sensory aspects, avocados treated with L. sidoides EO associated with CMC showed improved appearance compared to the control treatment. These findings suggest that L. sidoides EO has potential in the postharvest treatment of avocados. Additionally, these results are significant and unprecedented for this crop, as research on the postharvest effects of incorporating this EO with edible coatings in avocados is still limited. Graphical Abstract: (Figure presented.). © The Author(s) 2024.</t>
  </si>
  <si>
    <t>Food Production, Processing and Nutrition</t>
  </si>
  <si>
    <t>A0034</t>
  </si>
  <si>
    <t>Rainfall and High Humidity Influence the Seasonal Dynamics of Spores of Glomerellaceae and Botryosphaeriaceae Genera in Avocado Orchards and Their Fruit Rot Association</t>
  </si>
  <si>
    <t>Tapia L.; Castillo-Novales D.; Riquelme N.; Valencia A.L.; Larach A.; Cautín R.; Besoain X.</t>
  </si>
  <si>
    <t>10.3390/agronomy15061453</t>
  </si>
  <si>
    <t>avocado; Botryosphaeriaceae; climatic factors; Glomerellaceae; spore dispersion; Chile; Mexico [North America]; Santo Domingo; Valparaiso [Chile]; anthracnose; biomonitoring; damage; disease severity; DNA; environmental factor; fungal disease; orchard; rainfall; seasonal variation; spore</t>
  </si>
  <si>
    <t>Avocado, a fruit consumed worldwide and essential for countries like Mexico and Chile, faces significant postharvest challenges, particularly during prolonged storage and transportation periods, where Botryosphaeriaceae and Glomerellaceae genera cause fruit rots that can generate substantial economic losses. This study investigated three Hass avocado orchards in the Valparaíso region of Chile to identify spore dispersion peaks, analyze the aerial dynamics of fungal inoculum, and evaluate the association with climatic conditions, as well as the incidence (I) and damage index (DI) of fruit rots. Spore traps were installed in symptomatic trees and monitored weekly over 13 months. Meteorological data were collected in parallel. Fruits from these orchards were sampled to evaluate postharvest rots, physiological maturity, and disease severity using molecular techniques, including DNA sequencing and phylogenetic analysis of isolated pathogens. The results revealed that spore peaks for both fungal families were closely associated with increased rainfall and high relative humidity, particularly from June to mid-September (winter season). The Santo Domingo orchard exhibited the highest disease pressure, with stem-end rot reaching an I of 44% and a DI of 17.25%, and anthracnose reaching an I of 23% and a DI of 12.25%. This study provides the first long-term, field-based evidence of airborne spore dynamics of Botryosphaeriaceae and Glomerellaceae in Chilean avocado orchards and their statistical relationship with environmental variables. These findings highlight the potential of incorporating climatic indicators—such as rainfall thresholds and humidity levels—into monitoring and early-warning systems to optimize fungicide application timing, reduce unnecessary chemical use, and improve postharvest disease management in avocado production. © 2025 by the authors.</t>
  </si>
  <si>
    <t>Agronomy</t>
  </si>
  <si>
    <t>A0035</t>
  </si>
  <si>
    <t>Role of the oxidative metabolism in induced resistance or susceptibility mechanism during the interaction of avocado with Phytophthora cinnamomi Rands.; [Papel do metabolismo oxidativo na resistência induzida ou mecanismo de suscetibilidade durante a interação do abacate com Phytophthora cinnamomi Rands.]</t>
  </si>
  <si>
    <t>Guarnizo N.; Rivera O.J.M.; Herrero V.F.; Florez J.E.M.; Jaramillo C.A.P.; Oliveros D.; Lorza E.A.R.</t>
  </si>
  <si>
    <t>10.1590/0100-5405/264502</t>
  </si>
  <si>
    <t>antioxidant; apoptosis; oxidative stress; Persea americana; Phytophthora root rot; plant defense</t>
  </si>
  <si>
    <t>The disease caused by the oomycete Phytophthora cinnamomi Rands affects most avocado (Persea americana) varieties, requiring additional tools for the selection of resistant materials. In the present study, induction of defense responses related to the oxidative metabolism in avocado was evaluated as a support for establishing its role in the defense responses during infection by this oomycete. Infection trials were carried out with the avocado clones ‘Duke 7’ (tolerant) and ‘Hass’ (susceptible), which had their stem base inoculated with the pathogen and whole leaves sampled at 0, 3, 24, 48 and 120 hours after infection (hai), for subsequent evaluation of the activities of the enzymes superoxide dismutase (SOD) and ascorbate peroxidase (APX), as well as for assessment of free radical scavenging capacity, total polyphenol content and caspase 3-like activity. The area under the disease progress curve was 1.3 and 14.8 (cm.day-1) for ‘Duke 7’ and ‘Hass’, respectively, and the former showed high resistance to the oomycete, which correlated with higher APX activity, higher free radical scavenger activity, and expression of caspase 3-like activity. Resistance or susceptibility in avocado during interaction with Phytophthora cinnamomi is suggested to be mediated by the participation of induced and innate antioxidants and by the induction of apoptosis responses in the resistant genotype ‘Duke 7’, whereas there is lack of such responses in ‘Hass’, the susceptible genotype. © 2025, Universidade Estadual Paulista (UNESP). All rights reserved.</t>
  </si>
  <si>
    <t>Summa Phytopathologica</t>
  </si>
  <si>
    <t>A0036</t>
  </si>
  <si>
    <t>Suppression of Stem-End Rot on Avocado Fruit Using Trichoderma spp. In the Central Highlands of Kenya</t>
  </si>
  <si>
    <t>Wanjiku E.K.; Waceke J.W.; Mbaka J.N.</t>
  </si>
  <si>
    <t>10.1155/2021/8867858</t>
  </si>
  <si>
    <t>Demand for organic avocado fruits, together with stringent food safety standards in the global market, has made producers to use alternative, safe, and consumer-friendly strategies of controlling the postharvest fungal disease of avocado fruits. This study assessed the in vitro efficacy of Trichoderma spp. (T. atroviride, T. virens, T. asperellum, and T. harzianum) against isolated avocado stem-end rot (SER) fungal pathogens (Lasiodiplodia theobromae, Neofusicoccum parvum, Nectria pseudotrichia, and Fusarium solani) using a dual culture technique. The Trichoderma spp. were also evaluated singly on postharvest "Hass"avocado fruits. Spore suspension at 5 × 104 conidial/ml of the Trichoderma spp. was applied on the avocado fruits at three time points, twenty-four hours before the fungal pathogen (preinoculation), at the same time as the fungal pathogen (concurrent inoculation), and 24 hours after the fungal pathogen (postinoculation). In the in vitro study, T. atroviride showed the highest mycelial growth inhibition against N. parvum (48%), N. pseudotrichia (55%), and F. solani (32.95%), while T. harzianum had the highest mycelial growth inhibition against L. theobromae. Trichoderma asperellum was the least effective in inhibiting the mycelial growth of all the pathogens. Similarly, T. virens showed the highest mycelial growth inhibition against N. pseudotrichia at 45% inhibition. On postharvest "Hass"fruits, T. atroviride showed the highest efficacy against N. parvum, N. pseudotrichia, and F. solani in all the applications. Trichoderma virens and T. harzianum were most effective against all the pathogens during postinoculation, while Lasiodiplodia theobromae was best controlled by T. virens, T. harzianum, and T. asperellum during postinoculation. Both T. atroviride and T. harzianum present a potential alternative to synthetic fungicides against postharvest diseases of avocado fruits, and further tests under field conditions to be done to validate their efficacy. The possibility of using Trichoderma spp. in the management of SER on avocado fruits at a commercial level should also be explored. © 2021 E. K. Wanjiku et al.</t>
  </si>
  <si>
    <t>Advances in Agriculture</t>
  </si>
  <si>
    <t>A0037</t>
  </si>
  <si>
    <t>The expression of the NPR1-dependent defense response pathway genes in Persea americana (Mill.) following infection with Phytophthora cinnamomi</t>
  </si>
  <si>
    <t>Backer R.; Naidoo S.; van den Berg N.</t>
  </si>
  <si>
    <t>10.1186/s12870-023-04541-z</t>
  </si>
  <si>
    <t>NPR1; Pathogenesis-related; Persea americana; Phytophthora cinnamomi; RNA-sequencing; Salicylic acid; Systemic acquired resistance</t>
  </si>
  <si>
    <t>A plant’s defense against pathogens involves an extensive set of phytohormone regulated defense signaling pathways. The salicylic acid (SA)-signaling pathway is one of the most well-studied in plant defense. The bulk of SA-related defense gene expression and the subsequent establishment of systemic acquired resistance (SAR) is dependent on the nonexpressor of pathogenesis-related genes 1 (NPR1). Therefore, understanding the NPR1 pathway and all its associations has the potential to provide valuable insights into defense against pathogens. The causal agent of Phytophthora root rot (PRR), Phytophthora cinnamomi, is of particular importance to the avocado (Persea americana) industry, which encounters considerable economic losses on account of this pathogen each year. Furthermore, P. cinnamomi is a hemibiotrophic pathogen, suggesting that the SA-signaling pathway plays an essential role in the initial defense response. Therefore, the NPR1 pathway which regulates downstream SA-induced gene expression would be instrumental in defense against P. cinnamomi. Thus, we identified 92 NPR1 pathway-associated orthologs from the P. americana West Indian pure accession genome and interrogated their expression following P. cinnamomi inoculation, using RNA-sequencing data. In total, 64 and 51 NPR1 pathway-associated genes were temporally regulated in the partially resistant (Dusa®) and susceptible (R0.12) P. americana rootstocks, respectively. Furthermore, 42 NPR1 pathway-associated genes were differentially regulated when comparing Dusa® to R0.12. Although this study suggests that SAR was established successfully in both rootstocks, the evidence presented indicated that Dusa® suppressed SA-signaling more effectively following the induction of SAR. Additionally, contrary to Dusa®, data from R0.12 suggested a substantial lack of SA- and NPR1-related defense gene expression during some of the earliest time-points following P. cinnamomi inoculation. This study represents the most comprehensive investigation of the SA-induced, NPR1-dependent pathway in P. americana to date. Lastly, this work provides novel insights into the likely mechanisms governing P. cinnamomi resistance in P. americana. © 2023, The Author(s).</t>
  </si>
  <si>
    <t>BMC Plant Biology</t>
  </si>
  <si>
    <t>A0038</t>
  </si>
  <si>
    <t>Unveiling the Predisposing Factors for the Development of Branch Canker and Dieback in Avocado: A Case of Study in Chilean Orchards</t>
  </si>
  <si>
    <t>Valencia A.L.; Saavedra-Torrico J.; Rosales I.M.; Mártiz J.; Retamales A.; Link A.; Gil P.M.</t>
  </si>
  <si>
    <t>10.3390/horticulturae8121121</t>
  </si>
  <si>
    <t>Botryosphaeriaceae; incidence; multivariate analysis; Persea americana; wood diseases</t>
  </si>
  <si>
    <t>Chilean avocado orchards have been affected by branch canker and dieback, mainly associated with pathogens species of the family Botryosphaeriaceae. Producers often relate water stress to these phenomena; however, predisposing factors for these diseases in Chilean orchards have not been reported. Therefore, the objective of this study was to identify the main climate, planting, and management variables associated with branch canker and dieback in Chilean avocado orchards. Multivariable statistical analyses (PCA and PLS-DA) were performed to analyze 76 variables possibly associated with the incidence of these diseases during two consecutive growing seasons. Our findings indicated that branch canker and dieback are mainly conditioned by orchard variables such as plant age, canopy volume, trunk diameter, leaf area index, and planting density. Variables associated with aged orchards, such as high age, high canopy volume, and high trunk diameter, appeared to be more associated with high incidence levels than were younger orchards with higher planting densities and high tree vigor levels. In addition, abiotic stresses, such as frost and overirrigation, were associated as secondary factors affecting these diseases’ development in avocado orchards. Moreover, this study allowed us to determine that branch canker and dieback can develop indistinctly in the different Chilean agroclimatic zones. © 2022 by the authors.</t>
  </si>
  <si>
    <t>A0039</t>
  </si>
  <si>
    <t>Science Direct</t>
  </si>
  <si>
    <t>Anti-oomycete activity and plant growth promoting properties of avocado fungal endophytes</t>
  </si>
  <si>
    <t>Nieves-Campos, Emma I.; Méndez-Bravo, Alejandro; Pérez-Bautista, Yareli; Llanderal-Mendoza, Jesús; Guevara-Avendaño, Edgar; Solís-García, Itzel A.; Diyarza-Sandoval, Nayeli A.; Contreras-Ramos, Silvia M.; Rodriguez-Campos, Jacobo; Méndez-Bravo, Alfonso; Reverchon, Frédérique</t>
  </si>
  <si>
    <t>10.1016/j.rhisph.2024.100931</t>
  </si>
  <si>
    <t>Endophytic fungi; Indoles</t>
  </si>
  <si>
    <t>Fungal endophytes are known as promising plant growth-promoting microorganisms. Surprisingly, despite the economic importance of avocado, the antimicrobial and plant growth-promoting properties of its fungal endophytes have seldom been investigated. Our objectives were to evaluate the anti-oomycete activity of avocado fungal endophytes and assess their potential plant growth-promoting properties, using Arabidopsis thaliana as a model plant. In total, 89 fungal isolates were obtained from the roots of avocado trees and grouped into 24 morphotypes. One isolate per morphotype was randomly selected to assess its antagonistic activity against Phytophthora cinnamomi through dual culture assays. The strongest inhibition of P. cinnamomi was induced by endophytic fungi belonging to the Fusarium, Mortierella and Penicillium genera. The six most promising fungal isolates were selected to assess their plant growth-promoting traits in co-inoculation assays with A. thaliana. All tested fungal endophytes were able to modify the plant root architecture and increase the number of lateral roots. Moreover, an accumulation of auxins was detected in the xylem and meristematic zone of plants inoculated with Mortierella sp. PC-T3-3.1 and Metapochonia sp. PC-T2-4.2, whilst auxin accumulation was restricted to the emerging lateral roots of plants inoculated with Penicillium sp. C-T0-3.1. Indole quantification showed that Penicillium sp. C-T0-3.1 produced the highest concentration of indole acetic acid (IAA) and indole butyric acid (IBA), despite the lack of auxin responsiveness in plants in the co-inoculation assays. Mortierella sp. PC-T3-3.1 and Metapochonia sp. PC-T2-4.2 produced more IAA and IBA when co-inoculated with A. thaliana than when growing alone, which suggests that sensing of plant signals could induce the production of auxin-like compounds by these two endophytes. Collectively, our findings contribute to elucidate the mechanisms underpinning the plant growth-promoting activity of avocado fungal endophytes, which will be key to harness their full metabolic potential.</t>
  </si>
  <si>
    <t>Rhizosphere</t>
  </si>
  <si>
    <t>S2452219824000867.ris</t>
  </si>
  <si>
    <t>A0040</t>
  </si>
  <si>
    <t>Guevara-Avendaño, Edgar; Bejarano-Bolívar, Alix Adriana; Kiel-Martínez, Ana-Luisa; Ramírez-Vázquez, Mónica; Méndez-Bravo, Alfonso; von Wobeser, Eneas Aguirre; Sánchez-Rangel, Diana; Guerrero-Analco, José A.; Eskalen, Akif; Reverchon, Frédérique</t>
  </si>
  <si>
    <t>Bacterial volatiles; spp.; Biological control; sp.; Rhizosphere</t>
  </si>
  <si>
    <t>Recent studies showed that bacterial volatile organic compounds (VOCs) play an important role in the suppression of phytopathogens. The ability of VOCs produced by avocado (Persea americana Mill.) rhizobacteria to suppress the growth of common avocado pathogens was therefore investigated. We evaluated the antifungal activity of VOCs emitted by avocado rhizobacteria in a first screening against Fusarium solani, and in subsequent antagonism assays against Fusarium sp. associated with Kuroshio shot hole borer, Colletotrichum gloeosporioides and Phytophthora cinnamomi, responsible for Fusarium dieback, anthracnosis and Phytophthora root rot in avocado, respectively. We also analyzed the composition of the bacterial volatile profiles by solid phase microextraction (SPME) gas chromatography coupled to mass spectrometry (GC–MS). Seven isolates, belonging to the bacterial genera Bacillus and Pseudomonas, reduced the mycelial growth of F. solani with inhibition percentages higher than 20%. Isolate HA, related to Bacillus amyloliquefaciens, significantly reduced the mycelial growth of Fusarium sp. and C. gloeosporioides and the mycelium density of P. cinnamomi. Isolates SO and SJJ, also members of the genus Bacillus, reduced Fusarium sp. mycelial growth and induced morphological alterations of fungal hyphae whilst isolate HB, close to B. mycoides, inhibited C. gloeosporioides. The analysis of the volatile profiles revealed the presence of ketones, pyrazines and sulfur-containing compounds, previously reported with antifungal activity. Altogether, our results support the potential of avocado rhizobacteria to act as biocontrol agents of avocado fungal pathogens and emphasize the importance of Bacillus spp. for the control of emerging avocado diseases such as Fusarium dieback.</t>
  </si>
  <si>
    <t>S0944501318310164.ris</t>
  </si>
  <si>
    <t>A0041</t>
  </si>
  <si>
    <t>Bioprospecting of microbial agents and their metabolites as potential inhibitors of Phytophthora cinnamomi, the causal agent of avocado root rot</t>
  </si>
  <si>
    <t>Ayyandurai, M.; Theradimani, M.; Harish, S.; Manonmani, K.; Madhu, G.S.; Yesu Raja, I.; Balakumbahan, R.; Kavitha Pushpam, A.</t>
  </si>
  <si>
    <t>10.1016/j.pmpp.2024.102362</t>
  </si>
  <si>
    <t>Avocado; SEM; GC-MS</t>
  </si>
  <si>
    <t>Phytophthora Root Rot (PRR) is one of the economically important diseases infecting avocado causing substantial yield losses worldwide. In this study, the root rot pathogen infecting avocado has been characterized and potential bioagents targeting PRR have been identified through molecular approaches. Field surveys revealed varying degrees of disease severity (54 %–17.5 %) and incidence (50 %–10 %) in Western Ghats of Tamil Nadu, India. The pathogen was isolated and identified as Phytophthora spp. based on morphology which depicted typical coralloid-type growth patterns. Besides, phylogenetic analysis with the ITS, ras-related protein and COX genes showed closed similarity with P. cinnamomi. The isolates showed significant variation in pathogenicity, with PC(TKI)-10 exhibiting the highest severity (70 %) developing typical symptoms. In vitro efficacy assays through dual-plate and volatiles revealed potential inhibitory effects of Trichoderma harzianum T (MP)-7 (81.11 %) and Bacillus amyloliquefaciens B (TI)-3 (76.67 %) against P. cinnamomi, and Scanning Electron Microscopy (SEM) provided insights into the antagonistic mechanisms, revealing physical interactions and enzymatic lysis of the pathogen by T (MP)-7 and B (TI)-3. Furthermore, Gas Chromatography-Mass Spectrometry (GC-MS) analysis identified bioactive compounds in the crude extracts of these bioagents, elucidating their metabolic pathways and potential modes of action against P. cinnamomi. Our findings highlights the importance of P. cinnamomi in avocado and the mechanism of fungal and bacterial bioagents in the sustainable management of the disease.</t>
  </si>
  <si>
    <t>S0885576524001462.ris</t>
  </si>
  <si>
    <t>A0042</t>
  </si>
  <si>
    <t>Comparison of cross inoculation potential of South African avocado and mango isolates of Colletotrichum gloeosporioides</t>
  </si>
  <si>
    <t>Sanders, G.M.; Korsten, L.</t>
  </si>
  <si>
    <t>10.1078/0944-5013-00186</t>
  </si>
  <si>
    <t>avocado; mango; inoculation study</t>
  </si>
  <si>
    <t>Summary</t>
  </si>
  <si>
    <t>S0944501304701135.ris</t>
  </si>
  <si>
    <t>A0043</t>
  </si>
  <si>
    <t>Flooding and Phytophthora cinnamomi: Effects on photosynthesis and chlorophyll fluorescence in shoots of non-grafted Persea americana (Mill.) rootstocks differing in tolerance to Phytophthora root rot</t>
  </si>
  <si>
    <t>Reeksting, B.J.; Taylor, N.J.; van den Berg, N.</t>
  </si>
  <si>
    <t>10.1016/j.sajb.2014.08.004</t>
  </si>
  <si>
    <t>Avocado; Fluorescence; Gas exchange; Flooding</t>
  </si>
  <si>
    <t>Losses in the production of avocado (Persea americana (Mill.)) are incurred due to Phytophthora root rot (PRR), a disease of the feeder roots that results in tree-dieback and eventual tree death. Avocado is also a flood-sensitive species and flooding exacerbates the effects of PRR. The avocado industry relies on the use of rootstocks tolerant to PRR to minimise losses. The present study compared the gas exchange and chlorophyll fluorescence responses of avocado rootstock plants of ‘Dusa™’, the current South African industry standard, with ‘Duke 7’, and the selections R0.12 and R0.06 which show reduced and superior tolerance to PRR, respectively. A decline in stomatal conductance (gs) and net CO2 assimilation (PN) over the 30day evaluation period were early responses to flooding. ‘Dusa™’, the more tolerant rootstock plants, demonstrated a better recovery in PN and gs in response to inoculation; however, both rootstocks performed poorly under flooded conditions. A decline in PN in infected ‘Duke 7’ plants appeared to be associated with stomatal limitations due to reduced stomatal conductance. The decline in PN and gs was not apparent in infected ‘Dusa™’ plants. Non-stomatal limitations to PN in rootstock plants exposed to flooding were also evident as indicated by increases in the ratio of internal to atmospheric CO2 concentrations (Ci/Ca). Impaired photosynthetic capacity in flooded rootstock plants was reflected by reduced photosystem II efficiency and photochemical quenching. In comparison to ‘Dusa™’, R0.12 rootstock plants showed reduced PN and gs following inoculation with Phytophthora cinnamomi whereas the more tolerant R0.06 rootstock plants revealed sustained photosynthetic activity. Interestingly R0.06 was the only rootstock able to maintain PN and gs in non-inoculated, flooded plants.</t>
  </si>
  <si>
    <t>South African Journal of Botany</t>
  </si>
  <si>
    <t>S0254629914001604.ris</t>
  </si>
  <si>
    <t>A0044</t>
  </si>
  <si>
    <t>Madhu, G.S.; Rani, A.T.; Muralidhara, B.M.; Deepak, G. Nayan; Rajendiran, S.; Ayyandurai, M.; Venkataravanappa, V.</t>
  </si>
  <si>
    <t>Avocado; LAMP; species</t>
  </si>
  <si>
    <t>Avocado root rot, predominantly caused by Phytophthora cinnamomi poses a major threat to avocado cultivation worldwide. However, the potential role of other Phytophthora and Phytophthora-like oomycete species in avocado decline remains largely unexplored. To address this knowledge gap, surveys were conducted across avocado orchards in the Western Ghats region of Karnataka, Kerala, and Tamil Nadu, India, to assess the diversity and pathogenicity of Phytophthora and Phytopythium species associated with root rot. Oomycete isolates were recovered from symptomatic root samples collected from 42 avocado orchards. Morphological characterization, coupled with multilocus sequence analysis targeting the internal transcribed spacer (ITS) region, cytochrome c oxidase subunit 1 (COX1), and β-tubulin (β-tub) genes, facilitated species identification. Furthermore, pathogenicity tests confirmed the virulence of the isolates. Among the surveyed orchards, Phytophthora species were isolated from 26 orchards, with P. cinnamomi being the most frequently detected, occurring in 22 orchards. Additionally, P. tropicalis was identified in 2 orchards, while P. nicotianae and P. kelmanii were each found in 1 orchard. In parallel, 9 Phytopythium isolates were recovered, with Phytopythium vexans detected in 7 orchards and Phytopythium chamaehyphon in 2 orchards. Among all isolates, P. cinnamomi exhibited the highest virulence, underscoring its primary role in avocado root rot. To facilitate early and accurate detection of the predominant pathogens, Phytophthora cinnamomi and Phytopythium vexans, in infected plants and nursery seedlings, a loop-mediated isothermal amplification (LAMP) assay was developed. The sensitivity of LAMP assay detection limits for P. cinnamomi was 25 pg, while for Pp. vexans was detected at 50 pg. This assay provides a rapid, highly sensitive, and reliable diagnostic tool, strengthening disease surveillance and management strategies for avocado cultivation in the region. This study highlighted the novel host record of P. Kelmanii and Pp. chamaehyphon in avocado root rot and Pp. vexans first report in India.</t>
  </si>
  <si>
    <t>S0885576525001742.ris</t>
  </si>
  <si>
    <t>A0045</t>
  </si>
  <si>
    <t>Shifts in the structure of rhizosphere bacterial communities of avocado after Fusarium dieback</t>
  </si>
  <si>
    <t>Bejarano-Bolívar, Alix A.; Lamelas, Araceli; Aguirre von Wobeser, Eneas; Sánchez-Rangel, Diana; Méndez-Bravo, Alfonso; Eskalen, Akif; Reverchon, Frédérique</t>
  </si>
  <si>
    <t>10.1016/j.rhisph.2021.100333</t>
  </si>
  <si>
    <t>Biological control; Microbial diversity; Rhizosphere core microbiome</t>
  </si>
  <si>
    <t>The rhizosphere microbiome is critical for plant growth and protection against plant pathogens. However, rhizosphere microbial communities are likely to be restructured upon plant infection by fungal pathogens. Our objective was to determine the shifts in rhizosphere bacterial communities of avocado trees (Persea americana Mill.) after Fusarium dieback (FD), a disease triggered by the symbiotic fungi of invasive ambrosia beetles (Euwallacea kuroshio and Euwallacea sp. nr. fornicatus), using 16S rDNA gene amplicon sequencing and a culture-dependent approach. Rhizosphere soil samples were collected from five asymptomatic and five FD-symptomatic avocado trees in a Californian orchard. Sequence analysis showed that diversity metrics of the rhizosphere bacterial communities associated with asymptomatic avocado trees were larger than those of communities from FD-symptomatic trees. Moreover, FD produced significant shifts in rhizobacterial community structure, which were mainly caused by rare OTUs. Bacterial taxa such as Armatimonadetes, Sporocytophaga or Cellvibrio were exclusively associated with the rhizosphere of asymptomatic trees and may act as an insurance mechanism against fungal invasions. Conversely, genera such as Myxococcus or Lysobacter, which have been described as effective biocontrol agents against Fusarium oxysporum, Colletotrichum gloeosporioides or Rhizoctonia spp., among other phytopathogens, were only found in the rhizosphere of FD-symptomatic trees. The culturable bacterial communities in the rhizosphere of both FD-symptomatic and asymptomatic trees were dominated by isolates from the Bacillus and Pseudomonas genera, indicating that potential biocontrol agents against FD may be isolated from healthy and diseased avocado trees. Altogether, our results showed that FD elicited shifts in the avocado rhizosphere microbiome, which could potentially affect soil microbial processes, and provide a basis for the selection of biocontrol agents that could be used for FD prevention.</t>
  </si>
  <si>
    <t>S245221982100029X.ris</t>
  </si>
  <si>
    <t>A0046</t>
  </si>
  <si>
    <t>Springer</t>
  </si>
  <si>
    <t>Branch canker battles: understanding and managing the Botryosphaeriaceae in avocado</t>
  </si>
  <si>
    <t>Möller, Heike; Slippers, Bernard; van den Berg, Noëlani</t>
  </si>
  <si>
    <t>10.1007/s12600-024-01227-6</t>
  </si>
  <si>
    <t>Avocado holds an important position in global agriculture and economic development. However, this thriving industry faces significant challenges from fungal pathogens, particularly those in the Botryosphaeriaceae. These fungi have emerged as major pathogens across various hosts, causing branch cankers, dieback, and fruit rots in avocados. These diseases reduce fruit quality and lead to substantial yield losses, threatening the profitability and sustainability of avocado production. This review consolidates current knowledge on Botryosphaeriaceae species affecting avocados, with a focus on their diversity, disease dynamics, detection methods, management strategies, and recent omics advances related to species reported in avocados. Given the escalating global production and economic importance of avocados, understanding, and effectively managing Botryosphaeriaceae infections is crucial. The review aims to identify research gaps and propose future research avenues to enhance disease management practices in avocado cultivation.</t>
  </si>
  <si>
    <t>Phytoparasitica</t>
  </si>
  <si>
    <t>10.1007_s12600-024-01227-6-citation.ris</t>
  </si>
  <si>
    <t>A0047</t>
  </si>
  <si>
    <t>Çalış, Özer; Çelik, Sefanur; Fidan, Hakan; Tek, Mumin Ibrahim; Shah, Mehraj; Tozlu, Ilhami; Wani, Shabir Hussain</t>
  </si>
  <si>
    <t>Avocado (Persea americana Milll.) holds a pivotal position in global fruit crops, contributing significantly to the economies of tropical and subtropical regions. However, the rising incidence of diseases poses a substantial risk to avocado production. This comprehensive study investigated the disease landscape in Antalya, the largest avocado cultivation area in the Türkiye. A survey of 2537 avocado trees across 11 regions from 2020 to 2021 revealed alarming disease incidences, particularly in the eastern regions of Gazipasa and Alanya. Dieback, branch canker, anthracnose, and soil-borne root rot were identified as the primary diseases affecting tree canopies, twigs, and branches. Morphological and molecular analyzes unveiled a spectrum of pathogens, with Colletotrichum gloeosporioides dominating in the Mediterranean region. Notably, Phytophthora cinnamomi emerged as a severe threat, causing root rot and decline in avocado trees. Fusarium solani and Fusarium oxysporum, known for their association with tropical fruit crops, were identified in the western parts of Antalya. Additionally, we have detected Neofusicoccum parvum, Lasiodiplodia theobromae, and Neopestalotiopsis rosae in collected samples from avocado trees. The identified pathogens exhibited varying levels of severity in branch canker and anthracnose on avocado branches and leaves. Furthermore, pathogenicity evaluations shed light on the potential of these pathogens to induce severe symptoms, emphasizing the urgency for effective control measures. The exploration of cultural and biological control strategies are crucial for mitigating the impact of branch canker, dieback, and anthracnose diseases, ensuring the sustainability of avocado cultivation in the region.</t>
  </si>
  <si>
    <t>10.1007_s41348-024-00954-6-citation.ris</t>
  </si>
  <si>
    <t>A0048</t>
  </si>
  <si>
    <t>Rodríguez-Gálvez, Edgar; Haro-Diaz, Cesar; Maza-Aguirre, Samir; Canahuire-Castillo, Fátima; Sullón-Saucedo, Julio; Deising, Holger B.</t>
  </si>
  <si>
    <t>Lasiodiplodia theobromae is a pathogenic fungus of more than 500 plant species, including avocado (Persea americana Mill.). The global production volume of avocado exceeded 911,000 metric tons in 2023. Although detailed quantitative surveys of yield losses caused by L. theobromae are not available for most avocado-producing regions, estimates indicate that this pathogen is associated with stem-end rot disease in 30-35% of plots located in the Department of Antioquia in Colombia (Ramírez-Gil et al. Heliyon 7: e05905, 2021), suggesting an enormous economic impact. As yield losses strongly depend on the virulence of isolates, a reliable method for determining their aggressiveness is indispensable for initiating disease control measures. In this study, we compared progression of external and internal necrosis caused by the aggressive L. theobromae isolate LA-VLCA3 inoculated into wounded middle parts of the stem and onto excised apices. Irrespective of the inoculation method, internal progression of necrosis preceded that of external necrosis. Spreading of external and internal necrosis was significantly more severe in plants inoculated at the apex than in mid-stem inoculated plants. We conclude that apex inoculation causes stronger symptoms and is therefore better suited to compare virulence of isolates than mid-stem inoculation.</t>
  </si>
  <si>
    <t>10.1007_s40858-025-00700-9-citation.ris</t>
  </si>
  <si>
    <t>Registros por base de datos</t>
  </si>
  <si>
    <t>Conteo</t>
  </si>
  <si>
    <t>IEEE Xplore</t>
  </si>
  <si>
    <t>Web of Science</t>
  </si>
  <si>
    <t>Total</t>
  </si>
  <si>
    <t>Paso 0 — Reglas definidas ANTES de filtrar. Este es el 'plan de vuelo': ajusta cada campo a tu proyecto.</t>
  </si>
  <si>
    <t>1. Tema / Proyecto</t>
  </si>
  <si>
    <t>Integración de una IA en una app móvil para la detección de enfermedades en el TALLO del aguacate (Persea americana).</t>
  </si>
  <si>
    <t>2. Pregunta de investigación</t>
  </si>
  <si>
    <t>¿Qué patógenos afectan el tallo (tronco) del aguacate (Persea americana), qué enfermedades/síntomas producen y cómo se detectan o diagnostican, a nivel mundial y en Latinoamérica?</t>
  </si>
  <si>
    <t>3. Objetivo de esta SLR</t>
  </si>
  <si>
    <t>Reunir y sintetizar la evidencia científica sobre los patógenos del tallo del aguacate para alimentar la base de conocimiento del sistema de IA.</t>
  </si>
  <si>
    <t>•</t>
  </si>
  <si>
    <t>Trata sobre aguacate / Persea americana.</t>
  </si>
  <si>
    <t>Menciona uno de los grupos de patógenos considerados.</t>
  </si>
  <si>
    <t>Aporta información sobre el TALLO/tronco (síntomas, cancro, muerte descendente/dieback, pudrición, marchitez, detección).</t>
  </si>
  <si>
    <t>Es un estudio primario (investigación original con datos).</t>
  </si>
  <si>
    <t>Idioma: español o inglés.</t>
  </si>
  <si>
    <t>Se enfoca ÚNICAMENTE en raíz, hoja o fruto (sin relación con el tallo).</t>
  </si>
  <si>
    <t>Es revisión / survey / mapping / meta-análisis (no es estudio primario).</t>
  </si>
  <si>
    <t>No especifica la especie del patógeno ni el órgano afectado.</t>
  </si>
  <si>
    <t>Registro duplicado (mismo DOI o título en otra base).</t>
  </si>
  <si>
    <t>Fuera del rango de años definido / idioma distinto de español o inglés.</t>
  </si>
  <si>
    <t>6. Grupos de patógenos considerados</t>
  </si>
  <si>
    <t>1. Phytophthora spp.</t>
  </si>
  <si>
    <t>Phytophthora cinnamomi</t>
  </si>
  <si>
    <t>2. Lasiodiplodia spp.</t>
  </si>
  <si>
    <t xml:space="preserve">Lasiodiplodia theobromae </t>
  </si>
  <si>
    <t>3. Botryosphaeriaceae</t>
  </si>
  <si>
    <t xml:space="preserve">Neofusicoccum parvum </t>
  </si>
  <si>
    <t>4. Colletotrichum spp.</t>
  </si>
  <si>
    <t>C. acutatum, C. gloeosporioides</t>
  </si>
  <si>
    <t>5. Fusarium spp.</t>
  </si>
  <si>
    <t>F. solani, F. oxysporum, F. equiseti</t>
  </si>
  <si>
    <t>6. Nectria spp.</t>
  </si>
  <si>
    <t xml:space="preserve">N. galligena, N. pseudotrichia, Rugonectria rugulosa </t>
  </si>
  <si>
    <t>7. Bases de datos consultadas</t>
  </si>
  <si>
    <t>Scopus · IEEE Xplore · Web of Science · Springer.  (Puedes añadir ScienceDirect / Google Scholar si tu docente lo permite.)</t>
  </si>
  <si>
    <t>8. Filtros aplicados</t>
  </si>
  <si>
    <t>Años: 2010–2025 (AJUSTA según tu docente).  Idioma: español / inglés.  Tipo: artículos y ponencias (estudios primarios).</t>
  </si>
  <si>
    <t>9. Criterios de calidad (Q1–Q10)</t>
  </si>
  <si>
    <t>Escala por criterio: 0 = no cumple · 1 = cumple parcialmente · 2 = cumple bien. Se puntúan en la hoja 'Calidad_articulos' (total y nivel se calculan solos).</t>
  </si>
  <si>
    <t>Q1</t>
  </si>
  <si>
    <t>El objetivo o pregunta del estudio está claramente definido.</t>
  </si>
  <si>
    <t>Q2</t>
  </si>
  <si>
    <t>Identifica el patógeno a nivel de especie (o al menos género) de forma clara.</t>
  </si>
  <si>
    <t>Q3</t>
  </si>
  <si>
    <t>Describe la enfermedad y los síntomas en el TALLO/tronco con claridad.</t>
  </si>
  <si>
    <t>Q4</t>
  </si>
  <si>
    <t>Se realiza sobre aguacate (Persea americana) o es claramente extrapolable a él.</t>
  </si>
  <si>
    <t>Q5</t>
  </si>
  <si>
    <t>La metodología (muestreo, aislamiento, identificación/diagnóstico) está descrita y es replicable.</t>
  </si>
  <si>
    <t>Q6</t>
  </si>
  <si>
    <t>Aporta evidencia que respalda las conclusiones (imágenes, mediciones, laboratorio, secuencias).</t>
  </si>
  <si>
    <t>Q7</t>
  </si>
  <si>
    <t>Menciona métodos de detección/diagnóstico (visual, molecular, imagen o IA) útiles para la app.</t>
  </si>
  <si>
    <t>Q8</t>
  </si>
  <si>
    <t>Indica el contexto geográfico/región (mundial o Latinoamérica) y las condiciones.</t>
  </si>
  <si>
    <t>Q9</t>
  </si>
  <si>
    <t>Resultados y conclusiones claros y coherentes con los datos presentados.</t>
  </si>
  <si>
    <t>Q10</t>
  </si>
  <si>
    <t>Fuente confiable y actual (revista revisada por pares, citable, año dentro del rango).</t>
  </si>
  <si>
    <t>Puntaje / Nivel</t>
  </si>
  <si>
    <t>Total 0–20 →  Alta: 16–20  ·  Media: 11–15  ·  Baja: ≤ 10  (cálculo automático).</t>
  </si>
  <si>
    <t>Validar</t>
  </si>
  <si>
    <t>10. Datos a extraer de cada artículo</t>
  </si>
  <si>
    <t>ID · Autores · Año · DOI · Grupo/Especie · Enfermedad-síntoma del tallo · Región · Método de detección · Resultado/aporte principal.</t>
  </si>
  <si>
    <t>CADENAS DE BÚSQUEDA (registro para reproducibilidad)</t>
  </si>
  <si>
    <t>Escribe la cadena EXACTA usada en cada base, con su fecha y nº de resultados. Repite cada cadena en las 4 bases y registra los resultados de cada una. Esto hace tu revisión REPRODUCIBLE.</t>
  </si>
  <si>
    <t>N.º</t>
  </si>
  <si>
    <t>Grupo</t>
  </si>
  <si>
    <t>Cadena de búsqueda exacta</t>
  </si>
  <si>
    <t>Campos</t>
  </si>
  <si>
    <t>Filtros (años/idioma)</t>
  </si>
  <si>
    <t>Fecha de búsqueda</t>
  </si>
  <si>
    <t>N.º resultados</t>
  </si>
  <si>
    <t>Notas</t>
  </si>
  <si>
    <t>TODOS</t>
  </si>
  <si>
    <t>("Persea americana" OR avocado) AND ("Phytophthora cinnamomi" OR "Lasiodiplodia theobromae" OR "Neofusicoccum parvum" OR Botryosphaeriaceae OR Colletotrichum OR Fusarium OR Nectria OR Rugonectria) AND (stem OR trunk OR canker OR dieback OR "stem-end rot" OR wilt OR disease OR symptom)</t>
  </si>
  <si>
    <t>Título-Resumen-Keywords</t>
  </si>
  <si>
    <t>2010–2025; es/en</t>
  </si>
  <si>
    <t>Repetir en Scopus/IEEE/WoS/Springer</t>
  </si>
  <si>
    <t>1. Phytophthora</t>
  </si>
  <si>
    <t>("Persea americana" OR avocado) AND "Phytophthora cinnamomi" AND (root OR stem OR trunk OR wilt OR dieback)</t>
  </si>
  <si>
    <t>2. Lasiodiplodia</t>
  </si>
  <si>
    <t>("Persea americana" OR avocado) AND "Lasiodiplodia theobromae" AND (stem OR trunk OR canker OR "stem-end rot")</t>
  </si>
  <si>
    <t>("Persea americana" OR avocado) AND ("Neofusicoccum parvum" OR Botryosphaeriaceae) AND (stem OR trunk OR canker OR dieback)</t>
  </si>
  <si>
    <t>4. Colletotrichum</t>
  </si>
  <si>
    <t>("Persea americana" OR avocado) AND ("Colletotrichum acutatum" OR "Colletotrichum gloeosporioides") AND (anthracnose OR stem OR canker)</t>
  </si>
  <si>
    <t>5. Fusarium</t>
  </si>
  <si>
    <t>("Persea americana" OR avocado) AND ("Fusarium solani" OR "Fusarium oxysporum" OR "Fusarium equiseti") AND (wilt OR stem OR trunk OR rot)</t>
  </si>
  <si>
    <t>6. Nectria</t>
  </si>
  <si>
    <t>("Persea americana" OR avocado) AND (Nectria OR "Rugonectria rugulosa") AND (canker OR trunk OR stem)</t>
  </si>
  <si>
    <t>Duplicados_y_exclusion</t>
  </si>
  <si>
    <t>Primer filtro: marca y descarta duplicados (mismo DOI/título) y exclusiones (revisiones/surveys). Conserva un único registro por estudio. Cada descarte lleva su motivo.</t>
  </si>
  <si>
    <t>ID original</t>
  </si>
  <si>
    <t>Tipo de exclusión</t>
  </si>
  <si>
    <t>Motivo de exclusión</t>
  </si>
  <si>
    <t>Duplicado</t>
  </si>
  <si>
    <t>Tipo de estudio detectado</t>
  </si>
  <si>
    <t>Decisión</t>
  </si>
  <si>
    <t>Tamizaje_Titulo_Abstract_Keywords</t>
  </si>
  <si>
    <t>Cribado por título, abstract y keywords. Registra la evidencia de cada eje y decide si el registro pasa a evaluación de calidad.</t>
  </si>
  <si>
    <t>Keywords principales</t>
  </si>
  <si>
    <t>Resumen técnico del abstract</t>
  </si>
  <si>
    <t>Evidencia de Inteligencia Artificial</t>
  </si>
  <si>
    <t>Evidencia de HCI / UX / UCD / usability</t>
  </si>
  <si>
    <t>Evidencia de aplicación móvil</t>
  </si>
  <si>
    <t>Evidencia de design / framework / methodology / approach</t>
  </si>
  <si>
    <t>Evidencia de agricultura / farming / smart agriculture</t>
  </si>
  <si>
    <t>Tipo de estudio (Primario / Revisión / Otro)</t>
  </si>
  <si>
    <t>Nivel de alineación con el objetivo</t>
  </si>
  <si>
    <t>Motivo de clasificación</t>
  </si>
  <si>
    <t>¿Pasa a evaluación de calidad?</t>
  </si>
  <si>
    <t>Calidad_articulos</t>
  </si>
  <si>
    <t>Evaluación de calidad de lo que pasó el tamizaje. Q1-Q10 se puntúan 0/1/2; el puntaje total (0-20) y el nivel de calidad se CALCULAN SOLOS.</t>
  </si>
  <si>
    <t>Puntaje total</t>
  </si>
  <si>
    <t>Nivel de calidad</t>
  </si>
  <si>
    <t>Observaciones de calidad</t>
  </si>
  <si>
    <t>Articulos_finales</t>
  </si>
  <si>
    <t>Selección final razonada: analiza el aporte de cada artículo y decide Incluir o Reserva, con su justificación.</t>
  </si>
  <si>
    <t>Tipo de estudio</t>
  </si>
  <si>
    <t>Aporte principal</t>
  </si>
  <si>
    <t>Relación con Objetivo 1</t>
  </si>
  <si>
    <t>Evidencia de IA</t>
  </si>
  <si>
    <t>Evidencia de HCI/UX</t>
  </si>
  <si>
    <t>Evidencia de mobile app</t>
  </si>
  <si>
    <t>Evidencia de design/framework/methodology/approach</t>
  </si>
  <si>
    <t>Evidencia de agricultura</t>
  </si>
  <si>
    <t>Decisión final (Incluir / Reserva)</t>
  </si>
  <si>
    <t>Justificación final</t>
  </si>
  <si>
    <t xml:space="preserve">Autor </t>
  </si>
  <si>
    <t>Estudio</t>
  </si>
  <si>
    <t>Técnica IA</t>
  </si>
  <si>
    <t>Método HCI</t>
  </si>
  <si>
    <t>Plataforma móvil</t>
  </si>
  <si>
    <t>Evaluación UX</t>
  </si>
  <si>
    <t>Resumen_ejecutivo</t>
  </si>
  <si>
    <t>Métrica</t>
  </si>
  <si>
    <t>Valor</t>
  </si>
  <si>
    <t>Definición</t>
  </si>
  <si>
    <t>Seleccionados</t>
  </si>
  <si>
    <t>Incluir</t>
  </si>
  <si>
    <t>Reserva</t>
  </si>
  <si>
    <t>Duplicados y revisiones</t>
  </si>
  <si>
    <t>Número total de artículos analizados</t>
  </si>
  <si>
    <t>Total consolidado de registros importados.</t>
  </si>
  <si>
    <t>Número de duplicados encontrados</t>
  </si>
  <si>
    <t>Registros repetidos respecto al estudio preferente.</t>
  </si>
  <si>
    <t>Número de revisiones/surveys/mapping/meta-análisis excluidos</t>
  </si>
  <si>
    <t>Exclusiones por ser estudios de revisión.</t>
  </si>
  <si>
    <t>Número de estudios primarios detectados</t>
  </si>
  <si>
    <t>Detección automática por título/abstract/keywords disponibles.</t>
  </si>
  <si>
    <t>Número de artículos que pasaron el tamizaje</t>
  </si>
  <si>
    <t>Registros mantenidos con alineación media o alta.</t>
  </si>
  <si>
    <t>Número de artículos de alta calidad</t>
  </si>
  <si>
    <t>Artículos con 16 a 20 puntos.</t>
  </si>
  <si>
    <t>Número final de artículos seleccionados</t>
  </si>
  <si>
    <t>Artículos incluidos o en reserva en la selección final.</t>
  </si>
  <si>
    <t>Principales patrones encontrados</t>
  </si>
  <si>
    <t>(Completa al final: principales patrones que encontraste en los artículos.)</t>
  </si>
  <si>
    <t>Principales técnicas de IA identificadas</t>
  </si>
  <si>
    <t>(Completa: principales grupos/patógenos y métodos de detección identificados.)</t>
  </si>
  <si>
    <t>Principales enfoques de HCI/UX identificados</t>
  </si>
  <si>
    <t>(Completa: principales síntomas/enfermedades del tallo identificados.)</t>
  </si>
  <si>
    <t>Vacíos detectados en la literatura</t>
  </si>
  <si>
    <t>(Completa: vacíos que detectaste en la literatura.)</t>
  </si>
  <si>
    <t>Recomendación final</t>
  </si>
  <si>
    <t>(Completa: tu recomendación final.)</t>
  </si>
  <si>
    <t>PROTOCOLO DE LA REVISIÓN SISTEMÁTICA DE LITERATURA</t>
  </si>
  <si>
    <t>4. Criterios de INCLUSIÓN</t>
  </si>
  <si>
    <t>5. Criterios de EXCLUSIÓN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</si>
</sst>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2"/>
      <color rgb="FFFFFFFF"/>
      <name val="Calibri"/>
      <family val="2"/>
    </font>
    <font>
      <i/>
      <sz val="10"/>
      <name val="Calibri"/>
      <family val="2"/>
    </font>
    <font>
      <b/>
      <sz val="11"/>
      <color rgb="FFFFFFFF"/>
      <name val="Calibri"/>
      <family val="2"/>
    </font>
    <font>
      <sz val="10"/>
      <color rgb="FF000000"/>
      <name val="Calibri"/>
      <family val="2"/>
    </font>
    <font>
      <sz val="10"/>
      <name val="Calibri"/>
      <family val="2"/>
    </font>
    <font>
      <b/>
      <sz val="8"/>
      <color theme="1"/>
      <name val="Arial"/>
      <family val="2"/>
    </font>
    <font>
      <b/>
      <sz val="14"/>
      <color rgb="FF1F3864"/>
      <name val="Calibri"/>
      <family val="2"/>
    </font>
    <font>
      <i/>
      <sz val="10"/>
      <color rgb="FF595959"/>
      <name val="Calibri"/>
      <family val="2"/>
    </font>
    <font>
      <b/>
      <sz val="11"/>
      <color rgb="FF1F3864"/>
      <name val="Calibri"/>
      <family val="2"/>
    </font>
    <font>
      <sz val="10"/>
      <name val="Calibri"/>
      <family val="2"/>
    </font>
    <font>
      <b/>
      <i/>
      <sz val="11"/>
      <color rgb="FFC00000"/>
      <name val="Calibri"/>
      <family val="2"/>
    </font>
    <font>
      <b/>
      <sz val="11"/>
      <color rgb="FFFFFFFF"/>
      <name val="Calibri"/>
      <family val="2"/>
    </font>
    <font>
      <b/>
      <sz val="10"/>
      <color rgb="FF1F3864"/>
      <name val="Calibri"/>
      <family val="2"/>
    </font>
    <font>
      <b/>
      <sz val="10"/>
      <color rgb="FFC00000"/>
      <name val="Calibri"/>
      <family val="2"/>
    </font>
    <font>
      <sz val="10"/>
      <name val="Calibri"/>
      <family val="2"/>
    </font>
    <font>
      <b/>
      <sz val="11"/>
      <color rgb="FF1F3864"/>
      <name val="Calibri"/>
      <family val="2"/>
    </font>
    <font>
      <sz val="10"/>
      <name val="Calibri"/>
      <family val="2"/>
    </font>
  </fonts>
  <fills count="10">
    <fill>
      <patternFill patternType="none"/>
    </fill>
    <fill>
      <patternFill patternType="gray125"/>
    </fill>
    <fill>
      <patternFill patternType="solid">
        <fgColor rgb="FF0F766E"/>
      </patternFill>
    </fill>
    <fill>
      <patternFill patternType="solid">
        <fgColor rgb="FFEAF3FF"/>
      </patternFill>
    </fill>
    <fill>
      <patternFill patternType="solid">
        <fgColor rgb="FF1F4E78"/>
      </patternFill>
    </fill>
    <fill>
      <patternFill patternType="solid">
        <fgColor rgb="FFEAF6EA"/>
      </patternFill>
    </fill>
    <fill>
      <patternFill patternType="solid">
        <fgColor rgb="FFFFF2CC"/>
      </patternFill>
    </fill>
    <fill>
      <patternFill patternType="solid">
        <fgColor rgb="FFFFF2CC"/>
      </patternFill>
    </fill>
    <fill>
      <patternFill patternType="solid">
        <fgColor rgb="FF1F3864"/>
      </patternFill>
    </fill>
    <fill>
      <patternFill patternType="solid">
        <fgColor rgb="FFD9E1F2"/>
      </patternFill>
    </fill>
  </fills>
  <borders count="6">
    <border>
      <left/>
      <right/>
      <top/>
      <bottom/>
      <diagonal/>
    </border>
    <border>
      <left/>
      <right/>
      <top/>
      <bottom style="thin">
        <color rgb="FFB7C9E2"/>
      </bottom>
      <diagonal/>
    </border>
    <border>
      <left/>
      <right/>
      <top/>
      <bottom style="thin">
        <color rgb="FFB7C9E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4">
    <xf numFmtId="0" fontId="0" fillId="0" borderId="0" xfId="0"/>
    <xf numFmtId="0" fontId="3" fillId="4" borderId="1" xfId="0" applyFont="1" applyFill="1" applyBorder="1" applyAlignment="1">
      <alignment horizontal="center" vertical="center" wrapText="1"/>
    </xf>
    <xf numFmtId="0" fontId="4" fillId="3" borderId="1" xfId="0" applyFont="1" applyFill="1" applyBorder="1" applyAlignment="1">
      <alignment vertical="top" wrapText="1"/>
    </xf>
    <xf numFmtId="1" fontId="4" fillId="3" borderId="1" xfId="0" applyNumberFormat="1" applyFont="1" applyFill="1" applyBorder="1" applyAlignment="1">
      <alignment vertical="top" wrapText="1"/>
    </xf>
    <xf numFmtId="0" fontId="0" fillId="0" borderId="1" xfId="0" applyBorder="1"/>
    <xf numFmtId="0" fontId="0" fillId="5" borderId="1" xfId="0" applyFill="1" applyBorder="1" applyAlignment="1">
      <alignment horizontal="center" vertical="center" wrapText="1"/>
    </xf>
    <xf numFmtId="0" fontId="4" fillId="0" borderId="1" xfId="0" applyFont="1" applyBorder="1" applyAlignment="1">
      <alignment vertical="top" wrapText="1"/>
    </xf>
    <xf numFmtId="1" fontId="4" fillId="0" borderId="1" xfId="0" applyNumberFormat="1" applyFont="1" applyBorder="1" applyAlignment="1">
      <alignment vertical="top" wrapText="1"/>
    </xf>
    <xf numFmtId="0" fontId="0" fillId="0" borderId="1" xfId="0" applyBorder="1" applyAlignment="1">
      <alignment horizontal="center" vertical="center" wrapText="1"/>
    </xf>
    <xf numFmtId="0" fontId="3" fillId="4" borderId="0" xfId="0" applyFont="1" applyFill="1" applyAlignment="1">
      <alignment horizontal="center" vertical="center" wrapText="1"/>
    </xf>
    <xf numFmtId="1" fontId="0" fillId="0" borderId="0" xfId="0" applyNumberFormat="1"/>
    <xf numFmtId="0" fontId="5" fillId="0" borderId="0" xfId="0" applyFont="1" applyAlignment="1">
      <alignment vertical="top" wrapText="1"/>
    </xf>
    <xf numFmtId="0" fontId="6" fillId="0" borderId="3" xfId="0" applyFont="1" applyBorder="1" applyAlignment="1">
      <alignment horizontal="justify" vertical="center"/>
    </xf>
    <xf numFmtId="0" fontId="6" fillId="0" borderId="4" xfId="0" applyFont="1" applyBorder="1" applyAlignment="1">
      <alignment horizontal="justify" vertical="center"/>
    </xf>
    <xf numFmtId="0" fontId="9" fillId="0" borderId="0" xfId="0" applyFont="1" applyAlignment="1">
      <alignment vertical="top" wrapText="1"/>
    </xf>
    <xf numFmtId="0" fontId="10" fillId="0" borderId="0" xfId="0" applyFont="1" applyAlignment="1">
      <alignment vertical="top" wrapText="1"/>
    </xf>
    <xf numFmtId="0" fontId="9" fillId="0" borderId="0" xfId="0" applyFont="1"/>
    <xf numFmtId="0" fontId="0" fillId="0" borderId="0" xfId="0" applyAlignment="1">
      <alignment horizontal="center" vertical="top"/>
    </xf>
    <xf numFmtId="0" fontId="10" fillId="7" borderId="0" xfId="0" applyFont="1" applyFill="1" applyAlignment="1">
      <alignment vertical="top" wrapText="1"/>
    </xf>
    <xf numFmtId="0" fontId="12" fillId="8" borderId="5" xfId="0" applyFont="1" applyFill="1" applyBorder="1" applyAlignment="1">
      <alignment horizontal="center" vertical="center" wrapText="1"/>
    </xf>
    <xf numFmtId="0" fontId="10" fillId="0" borderId="5" xfId="0" applyFont="1" applyBorder="1" applyAlignment="1">
      <alignment horizontal="center" vertical="center" wrapText="1"/>
    </xf>
    <xf numFmtId="0" fontId="10" fillId="0" borderId="5" xfId="0" applyFont="1" applyBorder="1" applyAlignment="1">
      <alignment vertical="top" wrapText="1"/>
    </xf>
    <xf numFmtId="0" fontId="0" fillId="0" borderId="5" xfId="0" applyBorder="1"/>
    <xf numFmtId="0" fontId="13" fillId="0" borderId="0" xfId="0" applyFont="1" applyAlignment="1">
      <alignment vertical="top" wrapText="1"/>
    </xf>
    <xf numFmtId="0" fontId="14" fillId="7" borderId="0" xfId="0" applyFont="1" applyFill="1"/>
    <xf numFmtId="0" fontId="8" fillId="7" borderId="0" xfId="0" applyFont="1" applyFill="1" applyAlignment="1">
      <alignment vertical="top" wrapText="1"/>
    </xf>
    <xf numFmtId="0" fontId="5" fillId="7" borderId="0" xfId="0" applyFont="1" applyFill="1" applyAlignment="1">
      <alignment vertical="top" wrapText="1"/>
    </xf>
    <xf numFmtId="0" fontId="5" fillId="0" borderId="5" xfId="0" applyFont="1" applyBorder="1" applyAlignment="1">
      <alignment vertical="top" wrapText="1"/>
    </xf>
    <xf numFmtId="0" fontId="15" fillId="0" borderId="0" xfId="0" applyFont="1" applyAlignment="1">
      <alignment vertical="top" wrapText="1"/>
    </xf>
    <xf numFmtId="0" fontId="15" fillId="0" borderId="1" xfId="0" applyFont="1" applyBorder="1"/>
    <xf numFmtId="0" fontId="16" fillId="9" borderId="0" xfId="0" applyFont="1" applyFill="1"/>
    <xf numFmtId="0" fontId="17" fillId="0" borderId="0" xfId="0" applyFont="1"/>
    <xf numFmtId="0" fontId="16" fillId="0" borderId="0" xfId="0" applyFont="1"/>
    <xf numFmtId="0" fontId="2" fillId="3" borderId="0" xfId="0" applyFont="1" applyFill="1" applyAlignment="1">
      <alignment vertical="top" wrapText="1"/>
    </xf>
    <xf numFmtId="0" fontId="0" fillId="0" borderId="0" xfId="0"/>
    <xf numFmtId="0" fontId="1" fillId="2" borderId="0" xfId="0" applyFont="1" applyFill="1" applyAlignment="1">
      <alignment vertical="center"/>
    </xf>
    <xf numFmtId="0" fontId="11" fillId="0" borderId="0" xfId="0" applyFont="1"/>
    <xf numFmtId="0" fontId="8" fillId="0" borderId="0" xfId="0" applyFont="1"/>
    <xf numFmtId="0" fontId="7" fillId="0" borderId="0" xfId="0" applyFont="1"/>
    <xf numFmtId="0" fontId="4" fillId="6" borderId="2" xfId="0" applyFont="1" applyFill="1" applyBorder="1" applyAlignment="1">
      <alignment vertical="top" wrapText="1"/>
    </xf>
    <xf numFmtId="0" fontId="0" fillId="0" borderId="2" xfId="0" applyBorder="1"/>
    <xf numFmtId="0" fontId="3" fillId="4" borderId="2" xfId="0" applyFont="1" applyFill="1" applyBorder="1" applyAlignment="1">
      <alignment horizontal="left" vertical="center"/>
    </xf>
    <xf numFmtId="0" fontId="4" fillId="3" borderId="2" xfId="0" applyFont="1" applyFill="1" applyBorder="1" applyAlignment="1">
      <alignment vertical="top" wrapText="1"/>
    </xf>
    <xf numFmtId="0" fontId="1" fillId="2" borderId="0" xfId="0" applyFont="1" applyFill="1"/>
  </cellXfs>
  <cellStyles count="1">
    <cellStyle name="Normal" xfId="0" builtinId="0"/>
  </cellStyles>
  <dxfs count="3">
    <dxf>
      <fill>
        <patternFill>
          <bgColor rgb="FFFDE9E7"/>
        </patternFill>
      </fill>
    </dxf>
    <dxf>
      <fill>
        <patternFill>
          <bgColor rgb="FFFFF2CC"/>
        </patternFill>
      </fill>
    </dxf>
    <dxf>
      <fill>
        <patternFill>
          <bgColor rgb="FFEAF6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zoomScale="115" workbookViewId="0">
      <selection activeCell="B39" sqref="B39"/>
    </sheetView>
  </sheetViews>
  <sheetFormatPr baseColWidth="10" defaultColWidth="8.88671875" defaultRowHeight="14.4" x14ac:dyDescent="0.3"/>
  <cols>
    <col min="1" max="1" width="34" customWidth="1"/>
    <col min="2" max="2" width="95" customWidth="1"/>
  </cols>
  <sheetData>
    <row r="1" spans="1:2" ht="18" customHeight="1" x14ac:dyDescent="0.35">
      <c r="A1" s="38" t="s">
        <v>522</v>
      </c>
      <c r="B1" s="34"/>
    </row>
    <row r="2" spans="1:2" x14ac:dyDescent="0.3">
      <c r="A2" s="37" t="s">
        <v>358</v>
      </c>
      <c r="B2" s="34"/>
    </row>
    <row r="4" spans="1:2" x14ac:dyDescent="0.3">
      <c r="A4" s="14" t="s">
        <v>359</v>
      </c>
      <c r="B4" s="15" t="s">
        <v>360</v>
      </c>
    </row>
    <row r="5" spans="1:2" ht="27.6" customHeight="1" x14ac:dyDescent="0.3">
      <c r="A5" s="14" t="s">
        <v>361</v>
      </c>
      <c r="B5" s="15" t="s">
        <v>362</v>
      </c>
    </row>
    <row r="6" spans="1:2" ht="27.6" customHeight="1" x14ac:dyDescent="0.3">
      <c r="A6" s="14" t="s">
        <v>363</v>
      </c>
      <c r="B6" s="15" t="s">
        <v>364</v>
      </c>
    </row>
    <row r="8" spans="1:2" x14ac:dyDescent="0.3">
      <c r="A8" s="16" t="s">
        <v>523</v>
      </c>
    </row>
    <row r="9" spans="1:2" x14ac:dyDescent="0.3">
      <c r="A9" s="17" t="s">
        <v>365</v>
      </c>
      <c r="B9" s="15" t="s">
        <v>366</v>
      </c>
    </row>
    <row r="10" spans="1:2" x14ac:dyDescent="0.3">
      <c r="A10" s="17" t="s">
        <v>365</v>
      </c>
      <c r="B10" s="15" t="s">
        <v>367</v>
      </c>
    </row>
    <row r="11" spans="1:2" ht="27.6" customHeight="1" x14ac:dyDescent="0.3">
      <c r="A11" s="17" t="s">
        <v>365</v>
      </c>
      <c r="B11" s="15" t="s">
        <v>368</v>
      </c>
    </row>
    <row r="12" spans="1:2" x14ac:dyDescent="0.3">
      <c r="A12" s="17" t="s">
        <v>365</v>
      </c>
      <c r="B12" s="15" t="s">
        <v>369</v>
      </c>
    </row>
    <row r="13" spans="1:2" x14ac:dyDescent="0.3">
      <c r="A13" s="17" t="s">
        <v>365</v>
      </c>
      <c r="B13" s="15" t="s">
        <v>370</v>
      </c>
    </row>
    <row r="15" spans="1:2" x14ac:dyDescent="0.3">
      <c r="A15" s="16" t="s">
        <v>524</v>
      </c>
    </row>
    <row r="16" spans="1:2" x14ac:dyDescent="0.3">
      <c r="A16" s="17" t="s">
        <v>365</v>
      </c>
      <c r="B16" s="15" t="s">
        <v>371</v>
      </c>
    </row>
    <row r="17" spans="1:2" x14ac:dyDescent="0.3">
      <c r="A17" s="17" t="s">
        <v>365</v>
      </c>
      <c r="B17" s="15" t="s">
        <v>372</v>
      </c>
    </row>
    <row r="18" spans="1:2" x14ac:dyDescent="0.3">
      <c r="A18" s="17" t="s">
        <v>365</v>
      </c>
      <c r="B18" s="15" t="s">
        <v>373</v>
      </c>
    </row>
    <row r="19" spans="1:2" x14ac:dyDescent="0.3">
      <c r="A19" s="17" t="s">
        <v>365</v>
      </c>
      <c r="B19" s="15" t="s">
        <v>374</v>
      </c>
    </row>
    <row r="20" spans="1:2" x14ac:dyDescent="0.3">
      <c r="A20" s="17" t="s">
        <v>365</v>
      </c>
      <c r="B20" s="15" t="s">
        <v>375</v>
      </c>
    </row>
    <row r="22" spans="1:2" x14ac:dyDescent="0.3">
      <c r="A22" s="16" t="s">
        <v>376</v>
      </c>
      <c r="B22" s="15"/>
    </row>
    <row r="23" spans="1:2" x14ac:dyDescent="0.3">
      <c r="A23" s="15" t="s">
        <v>377</v>
      </c>
      <c r="B23" s="15" t="s">
        <v>378</v>
      </c>
    </row>
    <row r="24" spans="1:2" x14ac:dyDescent="0.3">
      <c r="A24" s="18" t="s">
        <v>379</v>
      </c>
      <c r="B24" s="26" t="s">
        <v>380</v>
      </c>
    </row>
    <row r="25" spans="1:2" x14ac:dyDescent="0.3">
      <c r="A25" s="18" t="s">
        <v>381</v>
      </c>
      <c r="B25" s="26" t="s">
        <v>382</v>
      </c>
    </row>
    <row r="26" spans="1:2" x14ac:dyDescent="0.3">
      <c r="A26" s="15" t="s">
        <v>383</v>
      </c>
      <c r="B26" s="15" t="s">
        <v>384</v>
      </c>
    </row>
    <row r="27" spans="1:2" x14ac:dyDescent="0.3">
      <c r="A27" s="15" t="s">
        <v>385</v>
      </c>
      <c r="B27" s="15" t="s">
        <v>386</v>
      </c>
    </row>
    <row r="28" spans="1:2" x14ac:dyDescent="0.3">
      <c r="A28" s="18" t="s">
        <v>387</v>
      </c>
      <c r="B28" s="26" t="s">
        <v>388</v>
      </c>
    </row>
    <row r="30" spans="1:2" ht="27.6" customHeight="1" x14ac:dyDescent="0.3">
      <c r="A30" s="14" t="s">
        <v>389</v>
      </c>
      <c r="B30" s="15" t="s">
        <v>390</v>
      </c>
    </row>
    <row r="31" spans="1:2" ht="27.6" customHeight="1" x14ac:dyDescent="0.3">
      <c r="A31" s="14" t="s">
        <v>391</v>
      </c>
      <c r="B31" s="15" t="s">
        <v>392</v>
      </c>
    </row>
    <row r="32" spans="1:2" ht="27.6" customHeight="1" x14ac:dyDescent="0.3">
      <c r="A32" s="14" t="s">
        <v>393</v>
      </c>
      <c r="B32" s="15" t="s">
        <v>394</v>
      </c>
    </row>
    <row r="33" spans="1:2" x14ac:dyDescent="0.3">
      <c r="A33" s="23" t="s">
        <v>395</v>
      </c>
      <c r="B33" s="15" t="s">
        <v>396</v>
      </c>
    </row>
    <row r="34" spans="1:2" x14ac:dyDescent="0.3">
      <c r="A34" s="23" t="s">
        <v>397</v>
      </c>
      <c r="B34" s="15" t="s">
        <v>398</v>
      </c>
    </row>
    <row r="35" spans="1:2" x14ac:dyDescent="0.3">
      <c r="A35" s="23" t="s">
        <v>399</v>
      </c>
      <c r="B35" s="15" t="s">
        <v>400</v>
      </c>
    </row>
    <row r="36" spans="1:2" x14ac:dyDescent="0.3">
      <c r="A36" s="23" t="s">
        <v>401</v>
      </c>
      <c r="B36" s="15" t="s">
        <v>402</v>
      </c>
    </row>
    <row r="37" spans="1:2" x14ac:dyDescent="0.3">
      <c r="A37" s="23" t="s">
        <v>403</v>
      </c>
      <c r="B37" s="15" t="s">
        <v>404</v>
      </c>
    </row>
    <row r="38" spans="1:2" x14ac:dyDescent="0.3">
      <c r="A38" s="23" t="s">
        <v>405</v>
      </c>
      <c r="B38" s="15" t="s">
        <v>406</v>
      </c>
    </row>
    <row r="39" spans="1:2" x14ac:dyDescent="0.3">
      <c r="A39" s="23" t="s">
        <v>407</v>
      </c>
      <c r="B39" s="15" t="s">
        <v>408</v>
      </c>
    </row>
    <row r="40" spans="1:2" x14ac:dyDescent="0.3">
      <c r="A40" s="23" t="s">
        <v>409</v>
      </c>
      <c r="B40" s="15" t="s">
        <v>410</v>
      </c>
    </row>
    <row r="41" spans="1:2" x14ac:dyDescent="0.3">
      <c r="A41" s="23" t="s">
        <v>411</v>
      </c>
      <c r="B41" s="15" t="s">
        <v>412</v>
      </c>
    </row>
    <row r="42" spans="1:2" x14ac:dyDescent="0.3">
      <c r="A42" s="23" t="s">
        <v>413</v>
      </c>
      <c r="B42" s="15" t="s">
        <v>414</v>
      </c>
    </row>
    <row r="43" spans="1:2" x14ac:dyDescent="0.3">
      <c r="A43" s="23" t="s">
        <v>415</v>
      </c>
      <c r="B43" s="15" t="s">
        <v>416</v>
      </c>
    </row>
    <row r="44" spans="1:2" x14ac:dyDescent="0.3">
      <c r="A44" s="24" t="s">
        <v>417</v>
      </c>
      <c r="B44" s="25"/>
    </row>
    <row r="46" spans="1:2" ht="27.6" customHeight="1" x14ac:dyDescent="0.3">
      <c r="A46" s="14" t="s">
        <v>418</v>
      </c>
      <c r="B46" s="11" t="s">
        <v>419</v>
      </c>
    </row>
    <row r="48" spans="1:2" x14ac:dyDescent="0.3">
      <c r="A48" s="36"/>
      <c r="B48" s="34"/>
    </row>
  </sheetData>
  <mergeCells count="3">
    <mergeCell ref="A48:B48"/>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showGridLines="0" workbookViewId="0">
      <selection activeCell="D7" sqref="D7"/>
    </sheetView>
  </sheetViews>
  <sheetFormatPr baseColWidth="10" defaultColWidth="8.88671875" defaultRowHeight="14.4" x14ac:dyDescent="0.3"/>
  <cols>
    <col min="1" max="1" width="5" customWidth="1"/>
    <col min="2" max="2" width="20" customWidth="1"/>
    <col min="3" max="3" width="16" customWidth="1"/>
    <col min="4" max="4" width="70" customWidth="1"/>
    <col min="5" max="6" width="20" customWidth="1"/>
    <col min="7" max="7" width="16" customWidth="1"/>
    <col min="8" max="8" width="12" customWidth="1"/>
    <col min="9" max="9" width="28" customWidth="1"/>
  </cols>
  <sheetData>
    <row r="1" spans="1:9" ht="18" customHeight="1" x14ac:dyDescent="0.35">
      <c r="A1" s="38" t="s">
        <v>420</v>
      </c>
      <c r="B1" s="34"/>
      <c r="C1" s="34"/>
      <c r="D1" s="34"/>
      <c r="E1" s="34"/>
      <c r="F1" s="34"/>
      <c r="G1" s="34"/>
      <c r="H1" s="34"/>
      <c r="I1" s="34"/>
    </row>
    <row r="2" spans="1:9" x14ac:dyDescent="0.3">
      <c r="A2" s="37" t="s">
        <v>421</v>
      </c>
      <c r="B2" s="34"/>
      <c r="C2" s="34"/>
      <c r="D2" s="34"/>
      <c r="E2" s="34"/>
      <c r="F2" s="34"/>
      <c r="G2" s="34"/>
      <c r="H2" s="34"/>
      <c r="I2" s="34"/>
    </row>
    <row r="4" spans="1:9" ht="28.8" customHeight="1" x14ac:dyDescent="0.3">
      <c r="A4" s="19" t="s">
        <v>422</v>
      </c>
      <c r="B4" s="19" t="s">
        <v>423</v>
      </c>
      <c r="C4" s="19" t="s">
        <v>3</v>
      </c>
      <c r="D4" s="19" t="s">
        <v>424</v>
      </c>
      <c r="E4" s="19" t="s">
        <v>425</v>
      </c>
      <c r="F4" s="19" t="s">
        <v>426</v>
      </c>
      <c r="G4" s="19" t="s">
        <v>427</v>
      </c>
      <c r="H4" s="19" t="s">
        <v>428</v>
      </c>
      <c r="I4" s="19" t="s">
        <v>429</v>
      </c>
    </row>
    <row r="5" spans="1:9" ht="55.2" customHeight="1" x14ac:dyDescent="0.3">
      <c r="A5" s="20">
        <v>1</v>
      </c>
      <c r="B5" s="21" t="s">
        <v>430</v>
      </c>
      <c r="C5" s="21"/>
      <c r="D5" s="27" t="s">
        <v>431</v>
      </c>
      <c r="E5" s="21" t="s">
        <v>432</v>
      </c>
      <c r="F5" s="21" t="s">
        <v>433</v>
      </c>
      <c r="G5" s="21"/>
      <c r="H5" s="20"/>
      <c r="I5" s="21" t="s">
        <v>434</v>
      </c>
    </row>
    <row r="6" spans="1:9" ht="27.6" customHeight="1" x14ac:dyDescent="0.3">
      <c r="A6" s="20">
        <v>2</v>
      </c>
      <c r="B6" s="21" t="s">
        <v>435</v>
      </c>
      <c r="C6" s="21"/>
      <c r="D6" s="27" t="s">
        <v>436</v>
      </c>
      <c r="E6" s="21" t="s">
        <v>432</v>
      </c>
      <c r="F6" s="21" t="s">
        <v>433</v>
      </c>
      <c r="G6" s="21"/>
      <c r="H6" s="20"/>
      <c r="I6" s="21" t="s">
        <v>434</v>
      </c>
    </row>
    <row r="7" spans="1:9" ht="27.6" customHeight="1" x14ac:dyDescent="0.3">
      <c r="A7" s="20">
        <v>3</v>
      </c>
      <c r="B7" s="21" t="s">
        <v>437</v>
      </c>
      <c r="C7" s="21"/>
      <c r="D7" s="27" t="s">
        <v>438</v>
      </c>
      <c r="E7" s="21" t="s">
        <v>432</v>
      </c>
      <c r="F7" s="21" t="s">
        <v>433</v>
      </c>
      <c r="G7" s="21"/>
      <c r="H7" s="20"/>
      <c r="I7" s="21" t="s">
        <v>434</v>
      </c>
    </row>
    <row r="8" spans="1:9" ht="27.6" customHeight="1" x14ac:dyDescent="0.3">
      <c r="A8" s="20">
        <v>4</v>
      </c>
      <c r="B8" s="21" t="s">
        <v>381</v>
      </c>
      <c r="C8" s="21"/>
      <c r="D8" s="27" t="s">
        <v>439</v>
      </c>
      <c r="E8" s="21" t="s">
        <v>432</v>
      </c>
      <c r="F8" s="21" t="s">
        <v>433</v>
      </c>
      <c r="G8" s="21"/>
      <c r="H8" s="20"/>
      <c r="I8" s="21" t="s">
        <v>434</v>
      </c>
    </row>
    <row r="9" spans="1:9" ht="27.6" customHeight="1" x14ac:dyDescent="0.3">
      <c r="A9" s="20">
        <v>5</v>
      </c>
      <c r="B9" s="21" t="s">
        <v>440</v>
      </c>
      <c r="C9" s="21"/>
      <c r="D9" s="27" t="s">
        <v>441</v>
      </c>
      <c r="E9" s="21" t="s">
        <v>432</v>
      </c>
      <c r="F9" s="21" t="s">
        <v>433</v>
      </c>
      <c r="G9" s="21"/>
      <c r="H9" s="20"/>
      <c r="I9" s="21" t="s">
        <v>434</v>
      </c>
    </row>
    <row r="10" spans="1:9" ht="27.6" customHeight="1" x14ac:dyDescent="0.3">
      <c r="A10" s="20">
        <v>6</v>
      </c>
      <c r="B10" s="21" t="s">
        <v>442</v>
      </c>
      <c r="C10" s="21"/>
      <c r="D10" s="27" t="s">
        <v>443</v>
      </c>
      <c r="E10" s="21" t="s">
        <v>432</v>
      </c>
      <c r="F10" s="21" t="s">
        <v>433</v>
      </c>
      <c r="G10" s="21"/>
      <c r="H10" s="20"/>
      <c r="I10" s="21" t="s">
        <v>434</v>
      </c>
    </row>
    <row r="11" spans="1:9" ht="27.6" customHeight="1" x14ac:dyDescent="0.3">
      <c r="A11" s="20">
        <v>7</v>
      </c>
      <c r="B11" s="21" t="s">
        <v>444</v>
      </c>
      <c r="C11" s="21"/>
      <c r="D11" s="27" t="s">
        <v>445</v>
      </c>
      <c r="E11" s="21" t="s">
        <v>432</v>
      </c>
      <c r="F11" s="21" t="s">
        <v>433</v>
      </c>
      <c r="G11" s="21"/>
      <c r="H11" s="20"/>
      <c r="I11" s="21" t="s">
        <v>434</v>
      </c>
    </row>
    <row r="12" spans="1:9" x14ac:dyDescent="0.3">
      <c r="A12" s="22"/>
      <c r="B12" s="22"/>
      <c r="C12" s="22"/>
      <c r="D12" s="22"/>
      <c r="E12" s="22"/>
      <c r="F12" s="22"/>
      <c r="G12" s="22"/>
      <c r="H12" s="22"/>
      <c r="I12" s="22"/>
    </row>
    <row r="13" spans="1:9" x14ac:dyDescent="0.3">
      <c r="A13" s="22"/>
      <c r="B13" s="22"/>
      <c r="C13" s="22"/>
      <c r="D13" s="22"/>
      <c r="E13" s="22"/>
      <c r="F13" s="22"/>
      <c r="G13" s="22"/>
      <c r="H13" s="22"/>
      <c r="I13" s="22"/>
    </row>
    <row r="14" spans="1:9" x14ac:dyDescent="0.3">
      <c r="A14" s="22"/>
      <c r="B14" s="22"/>
      <c r="C14" s="22"/>
      <c r="D14" s="22"/>
      <c r="E14" s="22"/>
      <c r="F14" s="22"/>
      <c r="G14" s="22"/>
      <c r="H14" s="22"/>
      <c r="I14" s="22"/>
    </row>
    <row r="15" spans="1:9" x14ac:dyDescent="0.3">
      <c r="A15" s="22"/>
      <c r="B15" s="22"/>
      <c r="C15" s="22"/>
      <c r="D15" s="22"/>
      <c r="E15" s="22"/>
      <c r="F15" s="22"/>
      <c r="G15" s="22"/>
      <c r="H15" s="22"/>
      <c r="I15" s="22"/>
    </row>
    <row r="16" spans="1:9" x14ac:dyDescent="0.3">
      <c r="A16" s="22"/>
      <c r="B16" s="22"/>
      <c r="C16" s="22"/>
      <c r="D16" s="22"/>
      <c r="E16" s="22"/>
      <c r="F16" s="22"/>
      <c r="G16" s="22"/>
      <c r="H16" s="22"/>
      <c r="I16" s="22"/>
    </row>
    <row r="17" spans="1:9" x14ac:dyDescent="0.3">
      <c r="A17" s="22"/>
      <c r="B17" s="22"/>
      <c r="C17" s="22"/>
      <c r="D17" s="22"/>
      <c r="E17" s="22"/>
      <c r="F17" s="22"/>
      <c r="G17" s="22"/>
      <c r="H17" s="22"/>
      <c r="I17" s="22"/>
    </row>
    <row r="18" spans="1:9" x14ac:dyDescent="0.3">
      <c r="A18" s="22"/>
      <c r="B18" s="22"/>
      <c r="C18" s="22"/>
      <c r="D18" s="22"/>
      <c r="E18" s="22"/>
      <c r="F18" s="22"/>
      <c r="G18" s="22"/>
      <c r="H18" s="22"/>
      <c r="I18" s="22"/>
    </row>
    <row r="19" spans="1:9" x14ac:dyDescent="0.3">
      <c r="A19" s="22"/>
      <c r="B19" s="22"/>
      <c r="C19" s="22"/>
      <c r="D19" s="22"/>
      <c r="E19" s="22"/>
      <c r="F19" s="22"/>
      <c r="G19" s="22"/>
      <c r="H19" s="22"/>
      <c r="I19" s="22"/>
    </row>
    <row r="20" spans="1:9" x14ac:dyDescent="0.3">
      <c r="A20" s="22"/>
      <c r="B20" s="22"/>
      <c r="C20" s="22"/>
      <c r="D20" s="22"/>
      <c r="E20" s="22"/>
      <c r="F20" s="22"/>
      <c r="G20" s="22"/>
      <c r="H20" s="22"/>
      <c r="I20" s="22"/>
    </row>
    <row r="21" spans="1:9" x14ac:dyDescent="0.3">
      <c r="A21" s="22"/>
      <c r="B21" s="22"/>
      <c r="C21" s="22"/>
      <c r="D21" s="22"/>
      <c r="E21" s="22"/>
      <c r="F21" s="22"/>
      <c r="G21" s="22"/>
      <c r="H21" s="22"/>
      <c r="I21" s="22"/>
    </row>
    <row r="22" spans="1:9" x14ac:dyDescent="0.3">
      <c r="A22" s="22"/>
      <c r="B22" s="22"/>
      <c r="C22" s="22"/>
      <c r="D22" s="22"/>
      <c r="E22" s="22"/>
      <c r="F22" s="22"/>
      <c r="G22" s="22"/>
      <c r="H22" s="22"/>
      <c r="I22" s="22"/>
    </row>
    <row r="23" spans="1:9" x14ac:dyDescent="0.3">
      <c r="A23" s="22"/>
      <c r="B23" s="22"/>
      <c r="C23" s="22"/>
      <c r="D23" s="22"/>
      <c r="E23" s="22"/>
      <c r="F23" s="22"/>
      <c r="G23" s="22"/>
      <c r="H23" s="22"/>
      <c r="I23" s="22"/>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91"/>
  <sheetViews>
    <sheetView topLeftCell="A50" zoomScale="95" zoomScaleNormal="95" workbookViewId="0">
      <selection activeCell="D57" sqref="D57"/>
    </sheetView>
  </sheetViews>
  <sheetFormatPr baseColWidth="10" defaultColWidth="8.88671875" defaultRowHeight="14.4" x14ac:dyDescent="0.3"/>
  <cols>
    <col min="1" max="1" width="8" customWidth="1"/>
    <col min="2" max="2" width="16" customWidth="1"/>
    <col min="3" max="3" width="60" customWidth="1"/>
    <col min="4" max="4" width="24" customWidth="1"/>
    <col min="5" max="5" width="10" customWidth="1"/>
    <col min="6" max="6" width="24" customWidth="1"/>
    <col min="7" max="7" width="45" customWidth="1"/>
    <col min="8" max="8" width="60" customWidth="1"/>
    <col min="9" max="9" width="17" customWidth="1"/>
    <col min="10" max="10" width="60" customWidth="1"/>
    <col min="11" max="11" width="22" customWidth="1"/>
    <col min="12" max="12" width="19" customWidth="1"/>
  </cols>
  <sheetData>
    <row r="1" spans="1:12" ht="17.55" customHeight="1" x14ac:dyDescent="0.3">
      <c r="A1" s="35" t="s">
        <v>0</v>
      </c>
      <c r="B1" s="34"/>
      <c r="C1" s="34"/>
      <c r="D1" s="34"/>
      <c r="E1" s="34"/>
      <c r="F1" s="34"/>
      <c r="G1" s="34"/>
      <c r="H1" s="34"/>
      <c r="I1" s="34"/>
      <c r="J1" s="34"/>
      <c r="K1" s="34"/>
      <c r="L1" s="34"/>
    </row>
    <row r="2" spans="1:12" ht="28.8" customHeight="1" x14ac:dyDescent="0.3">
      <c r="A2" s="33" t="s">
        <v>1</v>
      </c>
      <c r="B2" s="34"/>
      <c r="C2" s="34"/>
      <c r="D2" s="34"/>
      <c r="E2" s="34"/>
      <c r="F2" s="34"/>
      <c r="G2" s="34"/>
      <c r="H2" s="34"/>
      <c r="I2" s="34"/>
      <c r="J2" s="34"/>
      <c r="K2" s="34"/>
      <c r="L2" s="34"/>
    </row>
    <row r="3" spans="1:12" ht="28.8" customHeight="1" x14ac:dyDescent="0.3">
      <c r="A3" s="1" t="s">
        <v>2</v>
      </c>
      <c r="B3" s="1" t="s">
        <v>3</v>
      </c>
      <c r="C3" s="1" t="s">
        <v>4</v>
      </c>
      <c r="D3" s="1" t="s">
        <v>5</v>
      </c>
      <c r="E3" s="1" t="s">
        <v>6</v>
      </c>
      <c r="F3" s="1" t="s">
        <v>7</v>
      </c>
      <c r="G3" s="1" t="s">
        <v>8</v>
      </c>
      <c r="H3" s="1" t="s">
        <v>9</v>
      </c>
      <c r="I3" s="1" t="s">
        <v>10</v>
      </c>
      <c r="J3" s="1" t="s">
        <v>11</v>
      </c>
      <c r="K3" s="1" t="s">
        <v>12</v>
      </c>
      <c r="L3" s="1" t="s">
        <v>13</v>
      </c>
    </row>
    <row r="4" spans="1:12" ht="33.6" customHeight="1" x14ac:dyDescent="0.3">
      <c r="A4" s="28" t="s">
        <v>14</v>
      </c>
      <c r="B4" s="28" t="s">
        <v>15</v>
      </c>
      <c r="C4" s="28" t="s">
        <v>16</v>
      </c>
      <c r="D4" s="28" t="s">
        <v>17</v>
      </c>
      <c r="E4" s="28">
        <v>2019</v>
      </c>
      <c r="F4" s="28" t="s">
        <v>18</v>
      </c>
      <c r="G4" s="28" t="s">
        <v>19</v>
      </c>
      <c r="H4" s="28" t="s">
        <v>20</v>
      </c>
      <c r="I4" s="28" t="s">
        <v>21</v>
      </c>
      <c r="J4" s="28" t="s">
        <v>22</v>
      </c>
      <c r="K4" s="28" t="s">
        <v>23</v>
      </c>
      <c r="L4" s="28" t="s">
        <v>24</v>
      </c>
    </row>
    <row r="5" spans="1:12" ht="33.6" customHeight="1" x14ac:dyDescent="0.3">
      <c r="A5" s="28" t="s">
        <v>25</v>
      </c>
      <c r="B5" s="28" t="s">
        <v>15</v>
      </c>
      <c r="C5" s="28" t="s">
        <v>26</v>
      </c>
      <c r="D5" s="28" t="s">
        <v>27</v>
      </c>
      <c r="E5" s="28">
        <v>2018</v>
      </c>
      <c r="F5" s="28" t="s">
        <v>28</v>
      </c>
      <c r="G5" s="28" t="s">
        <v>29</v>
      </c>
      <c r="H5" s="28" t="s">
        <v>30</v>
      </c>
      <c r="I5" s="28" t="s">
        <v>21</v>
      </c>
      <c r="J5" s="28" t="s">
        <v>31</v>
      </c>
      <c r="K5" s="28" t="s">
        <v>23</v>
      </c>
      <c r="L5" s="28" t="s">
        <v>32</v>
      </c>
    </row>
    <row r="6" spans="1:12" ht="33.6" customHeight="1" x14ac:dyDescent="0.3">
      <c r="A6" s="28" t="s">
        <v>33</v>
      </c>
      <c r="B6" s="28" t="s">
        <v>15</v>
      </c>
      <c r="C6" s="28" t="s">
        <v>34</v>
      </c>
      <c r="D6" s="28" t="s">
        <v>35</v>
      </c>
      <c r="E6" s="28">
        <v>2026</v>
      </c>
      <c r="F6" s="28" t="s">
        <v>36</v>
      </c>
      <c r="G6" s="28" t="s">
        <v>37</v>
      </c>
      <c r="H6" s="28" t="s">
        <v>38</v>
      </c>
      <c r="I6" s="28" t="s">
        <v>21</v>
      </c>
      <c r="J6" s="28" t="s">
        <v>39</v>
      </c>
      <c r="K6" s="28" t="s">
        <v>23</v>
      </c>
      <c r="L6" s="28" t="s">
        <v>40</v>
      </c>
    </row>
    <row r="7" spans="1:12" ht="33.6" customHeight="1" x14ac:dyDescent="0.3">
      <c r="A7" s="28" t="s">
        <v>41</v>
      </c>
      <c r="B7" s="28" t="s">
        <v>15</v>
      </c>
      <c r="C7" s="28" t="s">
        <v>42</v>
      </c>
      <c r="D7" s="28" t="s">
        <v>43</v>
      </c>
      <c r="E7" s="28">
        <v>2021</v>
      </c>
      <c r="F7" s="28" t="s">
        <v>44</v>
      </c>
      <c r="G7" s="28" t="s">
        <v>45</v>
      </c>
      <c r="H7" s="28" t="s">
        <v>46</v>
      </c>
      <c r="I7" s="28" t="s">
        <v>21</v>
      </c>
      <c r="J7" s="28" t="s">
        <v>47</v>
      </c>
      <c r="K7" s="28" t="s">
        <v>23</v>
      </c>
      <c r="L7" s="28" t="s">
        <v>48</v>
      </c>
    </row>
    <row r="8" spans="1:12" ht="33.6" customHeight="1" x14ac:dyDescent="0.3">
      <c r="A8" s="28" t="s">
        <v>49</v>
      </c>
      <c r="B8" s="28" t="s">
        <v>15</v>
      </c>
      <c r="C8" s="28" t="s">
        <v>50</v>
      </c>
      <c r="D8" s="28" t="s">
        <v>51</v>
      </c>
      <c r="E8" s="28">
        <v>2020</v>
      </c>
      <c r="F8" s="28" t="s">
        <v>52</v>
      </c>
      <c r="G8" s="28" t="s">
        <v>53</v>
      </c>
      <c r="H8" s="28" t="s">
        <v>54</v>
      </c>
      <c r="I8" s="28" t="s">
        <v>21</v>
      </c>
      <c r="J8" s="28" t="s">
        <v>47</v>
      </c>
      <c r="K8" s="28" t="s">
        <v>23</v>
      </c>
      <c r="L8" s="28" t="s">
        <v>55</v>
      </c>
    </row>
    <row r="9" spans="1:12" ht="33.6" customHeight="1" x14ac:dyDescent="0.3">
      <c r="A9" s="28" t="s">
        <v>56</v>
      </c>
      <c r="B9" s="28" t="s">
        <v>15</v>
      </c>
      <c r="C9" s="28" t="s">
        <v>57</v>
      </c>
      <c r="D9" s="28" t="s">
        <v>58</v>
      </c>
      <c r="E9" s="28">
        <v>2026</v>
      </c>
      <c r="F9" s="28" t="s">
        <v>59</v>
      </c>
      <c r="G9" s="28" t="s">
        <v>60</v>
      </c>
      <c r="H9" s="28" t="s">
        <v>61</v>
      </c>
      <c r="I9" s="28" t="s">
        <v>21</v>
      </c>
      <c r="J9" s="28" t="s">
        <v>62</v>
      </c>
      <c r="K9" s="28" t="s">
        <v>23</v>
      </c>
      <c r="L9" s="28" t="s">
        <v>48</v>
      </c>
    </row>
    <row r="10" spans="1:12" ht="33.6" customHeight="1" x14ac:dyDescent="0.3">
      <c r="A10" s="28" t="s">
        <v>63</v>
      </c>
      <c r="B10" s="28" t="s">
        <v>15</v>
      </c>
      <c r="C10" s="28" t="s">
        <v>64</v>
      </c>
      <c r="D10" s="28" t="s">
        <v>65</v>
      </c>
      <c r="E10" s="28">
        <v>2007</v>
      </c>
      <c r="F10" s="28" t="s">
        <v>66</v>
      </c>
      <c r="G10" s="28" t="s">
        <v>67</v>
      </c>
      <c r="H10" s="28" t="s">
        <v>68</v>
      </c>
      <c r="I10" s="28" t="s">
        <v>21</v>
      </c>
      <c r="J10" s="28" t="s">
        <v>69</v>
      </c>
      <c r="K10" s="28" t="s">
        <v>23</v>
      </c>
      <c r="L10" s="28" t="s">
        <v>70</v>
      </c>
    </row>
    <row r="11" spans="1:12" ht="33.6" customHeight="1" x14ac:dyDescent="0.3">
      <c r="A11" s="28" t="s">
        <v>71</v>
      </c>
      <c r="B11" s="28" t="s">
        <v>15</v>
      </c>
      <c r="C11" s="28" t="s">
        <v>72</v>
      </c>
      <c r="D11" s="28" t="s">
        <v>73</v>
      </c>
      <c r="E11" s="28">
        <v>2024</v>
      </c>
      <c r="F11" s="28" t="s">
        <v>74</v>
      </c>
      <c r="G11" s="28" t="s">
        <v>75</v>
      </c>
      <c r="H11" s="28" t="s">
        <v>76</v>
      </c>
      <c r="I11" s="28" t="s">
        <v>21</v>
      </c>
      <c r="J11" s="28" t="s">
        <v>77</v>
      </c>
      <c r="K11" s="28" t="s">
        <v>23</v>
      </c>
      <c r="L11" s="28" t="s">
        <v>78</v>
      </c>
    </row>
    <row r="12" spans="1:12" ht="33.6" customHeight="1" x14ac:dyDescent="0.3">
      <c r="A12" s="28" t="s">
        <v>79</v>
      </c>
      <c r="B12" s="28" t="s">
        <v>15</v>
      </c>
      <c r="C12" s="28" t="s">
        <v>80</v>
      </c>
      <c r="D12" s="28" t="s">
        <v>81</v>
      </c>
      <c r="E12" s="28">
        <v>2024</v>
      </c>
      <c r="F12" s="28" t="s">
        <v>82</v>
      </c>
      <c r="G12" s="28" t="s">
        <v>83</v>
      </c>
      <c r="H12" s="28" t="s">
        <v>84</v>
      </c>
      <c r="I12" s="28" t="s">
        <v>21</v>
      </c>
      <c r="J12" s="28" t="s">
        <v>85</v>
      </c>
      <c r="K12" s="28" t="s">
        <v>23</v>
      </c>
      <c r="L12" s="28" t="s">
        <v>86</v>
      </c>
    </row>
    <row r="13" spans="1:12" ht="33.6" customHeight="1" x14ac:dyDescent="0.3">
      <c r="A13" s="28" t="s">
        <v>87</v>
      </c>
      <c r="B13" s="28" t="s">
        <v>15</v>
      </c>
      <c r="C13" s="28" t="s">
        <v>88</v>
      </c>
      <c r="D13" s="28" t="s">
        <v>89</v>
      </c>
      <c r="E13" s="28">
        <v>2021</v>
      </c>
      <c r="F13" s="28" t="s">
        <v>90</v>
      </c>
      <c r="G13" s="28" t="s">
        <v>91</v>
      </c>
      <c r="H13" s="28" t="s">
        <v>92</v>
      </c>
      <c r="I13" s="28" t="s">
        <v>21</v>
      </c>
      <c r="J13" s="28" t="s">
        <v>93</v>
      </c>
      <c r="K13" s="28" t="s">
        <v>23</v>
      </c>
      <c r="L13" s="28" t="s">
        <v>48</v>
      </c>
    </row>
    <row r="14" spans="1:12" ht="33.6" customHeight="1" x14ac:dyDescent="0.3">
      <c r="A14" s="28" t="s">
        <v>94</v>
      </c>
      <c r="B14" s="28" t="s">
        <v>15</v>
      </c>
      <c r="C14" s="28" t="s">
        <v>95</v>
      </c>
      <c r="D14" s="28" t="s">
        <v>96</v>
      </c>
      <c r="E14" s="28">
        <v>2022</v>
      </c>
      <c r="F14" s="28" t="s">
        <v>97</v>
      </c>
      <c r="G14" s="28" t="s">
        <v>98</v>
      </c>
      <c r="H14" s="28" t="s">
        <v>99</v>
      </c>
      <c r="I14" s="28" t="s">
        <v>21</v>
      </c>
      <c r="J14" s="28" t="s">
        <v>100</v>
      </c>
      <c r="K14" s="28" t="s">
        <v>23</v>
      </c>
      <c r="L14" s="28" t="s">
        <v>48</v>
      </c>
    </row>
    <row r="15" spans="1:12" ht="33.6" customHeight="1" x14ac:dyDescent="0.3">
      <c r="A15" s="28" t="s">
        <v>101</v>
      </c>
      <c r="B15" s="28" t="s">
        <v>15</v>
      </c>
      <c r="C15" s="28" t="s">
        <v>102</v>
      </c>
      <c r="D15" s="28" t="s">
        <v>103</v>
      </c>
      <c r="E15" s="28">
        <v>2025</v>
      </c>
      <c r="F15" s="28" t="s">
        <v>104</v>
      </c>
      <c r="G15" s="28" t="s">
        <v>105</v>
      </c>
      <c r="H15" s="28" t="s">
        <v>106</v>
      </c>
      <c r="I15" s="28" t="s">
        <v>21</v>
      </c>
      <c r="J15" s="28" t="s">
        <v>107</v>
      </c>
      <c r="K15" s="28" t="s">
        <v>23</v>
      </c>
      <c r="L15" s="28" t="s">
        <v>108</v>
      </c>
    </row>
    <row r="16" spans="1:12" ht="33.6" customHeight="1" x14ac:dyDescent="0.3">
      <c r="A16" s="28" t="s">
        <v>109</v>
      </c>
      <c r="B16" s="28" t="s">
        <v>15</v>
      </c>
      <c r="C16" s="28" t="s">
        <v>110</v>
      </c>
      <c r="D16" s="28" t="s">
        <v>111</v>
      </c>
      <c r="E16" s="28">
        <v>2023</v>
      </c>
      <c r="F16" s="28" t="s">
        <v>112</v>
      </c>
      <c r="G16" s="28" t="s">
        <v>113</v>
      </c>
      <c r="H16" s="28" t="s">
        <v>114</v>
      </c>
      <c r="I16" s="28" t="s">
        <v>21</v>
      </c>
      <c r="J16" s="28" t="s">
        <v>115</v>
      </c>
      <c r="K16" s="28" t="s">
        <v>23</v>
      </c>
      <c r="L16" s="28" t="s">
        <v>78</v>
      </c>
    </row>
    <row r="17" spans="1:12" ht="33.6" customHeight="1" x14ac:dyDescent="0.3">
      <c r="A17" s="28" t="s">
        <v>116</v>
      </c>
      <c r="B17" s="28" t="s">
        <v>15</v>
      </c>
      <c r="C17" s="28" t="s">
        <v>117</v>
      </c>
      <c r="D17" s="28" t="s">
        <v>118</v>
      </c>
      <c r="E17" s="28">
        <v>2025</v>
      </c>
      <c r="F17" s="28" t="s">
        <v>119</v>
      </c>
      <c r="G17" s="28" t="s">
        <v>120</v>
      </c>
      <c r="H17" s="28" t="s">
        <v>121</v>
      </c>
      <c r="I17" s="28" t="s">
        <v>21</v>
      </c>
      <c r="J17" s="28" t="s">
        <v>122</v>
      </c>
      <c r="K17" s="28" t="s">
        <v>23</v>
      </c>
      <c r="L17" s="28" t="s">
        <v>123</v>
      </c>
    </row>
    <row r="18" spans="1:12" ht="33.6" customHeight="1" x14ac:dyDescent="0.3">
      <c r="A18" s="28" t="s">
        <v>124</v>
      </c>
      <c r="B18" s="28" t="s">
        <v>15</v>
      </c>
      <c r="C18" s="28" t="s">
        <v>125</v>
      </c>
      <c r="D18" s="28" t="s">
        <v>126</v>
      </c>
      <c r="E18" s="28">
        <v>2023</v>
      </c>
      <c r="F18" s="28" t="s">
        <v>127</v>
      </c>
      <c r="G18" s="28" t="s">
        <v>128</v>
      </c>
      <c r="H18" s="28" t="s">
        <v>129</v>
      </c>
      <c r="I18" s="28" t="s">
        <v>21</v>
      </c>
      <c r="J18" s="28" t="s">
        <v>130</v>
      </c>
      <c r="K18" s="28" t="s">
        <v>23</v>
      </c>
      <c r="L18" s="28" t="s">
        <v>131</v>
      </c>
    </row>
    <row r="19" spans="1:12" ht="33.6" customHeight="1" x14ac:dyDescent="0.3">
      <c r="A19" s="28" t="s">
        <v>132</v>
      </c>
      <c r="B19" s="28" t="s">
        <v>15</v>
      </c>
      <c r="C19" s="28" t="s">
        <v>133</v>
      </c>
      <c r="D19" s="28" t="s">
        <v>134</v>
      </c>
      <c r="E19" s="28">
        <v>2026</v>
      </c>
      <c r="F19" s="28" t="s">
        <v>135</v>
      </c>
      <c r="G19" s="28" t="s">
        <v>136</v>
      </c>
      <c r="H19" s="28" t="s">
        <v>137</v>
      </c>
      <c r="I19" s="28" t="s">
        <v>21</v>
      </c>
      <c r="J19" s="28" t="s">
        <v>47</v>
      </c>
      <c r="K19" s="28" t="s">
        <v>23</v>
      </c>
      <c r="L19" s="28" t="s">
        <v>138</v>
      </c>
    </row>
    <row r="20" spans="1:12" ht="33.6" customHeight="1" x14ac:dyDescent="0.3">
      <c r="A20" s="28" t="s">
        <v>139</v>
      </c>
      <c r="B20" s="28" t="s">
        <v>15</v>
      </c>
      <c r="C20" s="28" t="s">
        <v>140</v>
      </c>
      <c r="D20" s="28" t="s">
        <v>141</v>
      </c>
      <c r="E20" s="28">
        <v>2026</v>
      </c>
      <c r="F20" s="28" t="s">
        <v>142</v>
      </c>
      <c r="G20" s="28" t="s">
        <v>143</v>
      </c>
      <c r="H20" s="28" t="s">
        <v>144</v>
      </c>
      <c r="I20" s="28" t="s">
        <v>21</v>
      </c>
      <c r="J20" s="28" t="s">
        <v>145</v>
      </c>
      <c r="K20" s="28" t="s">
        <v>23</v>
      </c>
      <c r="L20" s="28" t="s">
        <v>146</v>
      </c>
    </row>
    <row r="21" spans="1:12" ht="33.6" customHeight="1" x14ac:dyDescent="0.3">
      <c r="A21" s="28" t="s">
        <v>147</v>
      </c>
      <c r="B21" s="28" t="s">
        <v>15</v>
      </c>
      <c r="C21" s="28" t="s">
        <v>148</v>
      </c>
      <c r="D21" s="28" t="s">
        <v>149</v>
      </c>
      <c r="E21" s="28">
        <v>2026</v>
      </c>
      <c r="F21" s="28" t="s">
        <v>150</v>
      </c>
      <c r="G21" s="28" t="s">
        <v>151</v>
      </c>
      <c r="H21" s="28" t="s">
        <v>152</v>
      </c>
      <c r="I21" s="28" t="s">
        <v>21</v>
      </c>
      <c r="J21" s="28" t="s">
        <v>153</v>
      </c>
      <c r="K21" s="28" t="s">
        <v>23</v>
      </c>
      <c r="L21" s="28" t="s">
        <v>131</v>
      </c>
    </row>
    <row r="22" spans="1:12" ht="33.6" customHeight="1" x14ac:dyDescent="0.3">
      <c r="A22" s="28" t="s">
        <v>154</v>
      </c>
      <c r="B22" s="28" t="s">
        <v>15</v>
      </c>
      <c r="C22" s="28" t="s">
        <v>155</v>
      </c>
      <c r="D22" s="28" t="s">
        <v>156</v>
      </c>
      <c r="E22" s="28">
        <v>2020</v>
      </c>
      <c r="F22" s="28" t="s">
        <v>157</v>
      </c>
      <c r="G22" s="28"/>
      <c r="H22" s="28" t="s">
        <v>158</v>
      </c>
      <c r="I22" s="28" t="s">
        <v>21</v>
      </c>
      <c r="J22" s="28" t="s">
        <v>159</v>
      </c>
      <c r="K22" s="28" t="s">
        <v>23</v>
      </c>
      <c r="L22" s="28" t="s">
        <v>123</v>
      </c>
    </row>
    <row r="23" spans="1:12" ht="33.6" customHeight="1" x14ac:dyDescent="0.3">
      <c r="A23" s="28" t="s">
        <v>160</v>
      </c>
      <c r="B23" s="28" t="s">
        <v>15</v>
      </c>
      <c r="C23" s="28" t="s">
        <v>161</v>
      </c>
      <c r="D23" s="28" t="s">
        <v>162</v>
      </c>
      <c r="E23" s="28">
        <v>2025</v>
      </c>
      <c r="F23" s="28" t="s">
        <v>163</v>
      </c>
      <c r="G23" s="28" t="s">
        <v>164</v>
      </c>
      <c r="H23" s="28" t="s">
        <v>165</v>
      </c>
      <c r="I23" s="28" t="s">
        <v>21</v>
      </c>
      <c r="J23" s="28" t="s">
        <v>166</v>
      </c>
      <c r="K23" s="28" t="s">
        <v>23</v>
      </c>
      <c r="L23" s="28" t="s">
        <v>48</v>
      </c>
    </row>
    <row r="24" spans="1:12" ht="33.6" customHeight="1" x14ac:dyDescent="0.3">
      <c r="A24" s="28" t="s">
        <v>167</v>
      </c>
      <c r="B24" s="28" t="s">
        <v>15</v>
      </c>
      <c r="C24" s="28" t="s">
        <v>168</v>
      </c>
      <c r="D24" s="28" t="s">
        <v>169</v>
      </c>
      <c r="E24" s="28">
        <v>2024</v>
      </c>
      <c r="F24" s="28" t="s">
        <v>170</v>
      </c>
      <c r="G24" s="28" t="s">
        <v>171</v>
      </c>
      <c r="H24" s="28" t="s">
        <v>172</v>
      </c>
      <c r="I24" s="28" t="s">
        <v>21</v>
      </c>
      <c r="J24" s="28" t="s">
        <v>173</v>
      </c>
      <c r="K24" s="28" t="s">
        <v>23</v>
      </c>
      <c r="L24" s="28" t="s">
        <v>48</v>
      </c>
    </row>
    <row r="25" spans="1:12" ht="33.6" customHeight="1" x14ac:dyDescent="0.3">
      <c r="A25" s="28" t="s">
        <v>174</v>
      </c>
      <c r="B25" s="28" t="s">
        <v>15</v>
      </c>
      <c r="C25" s="28" t="s">
        <v>175</v>
      </c>
      <c r="D25" s="28" t="s">
        <v>176</v>
      </c>
      <c r="E25" s="28">
        <v>2019</v>
      </c>
      <c r="F25" s="28" t="s">
        <v>177</v>
      </c>
      <c r="G25" s="28" t="s">
        <v>178</v>
      </c>
      <c r="H25" s="28" t="s">
        <v>179</v>
      </c>
      <c r="I25" s="28" t="s">
        <v>21</v>
      </c>
      <c r="J25" s="28" t="s">
        <v>180</v>
      </c>
      <c r="K25" s="28" t="s">
        <v>23</v>
      </c>
      <c r="L25" s="28" t="s">
        <v>70</v>
      </c>
    </row>
    <row r="26" spans="1:12" ht="33.6" customHeight="1" x14ac:dyDescent="0.3">
      <c r="A26" s="28" t="s">
        <v>181</v>
      </c>
      <c r="B26" s="28" t="s">
        <v>15</v>
      </c>
      <c r="C26" s="28" t="s">
        <v>182</v>
      </c>
      <c r="D26" s="28" t="s">
        <v>183</v>
      </c>
      <c r="E26" s="28">
        <v>2020</v>
      </c>
      <c r="F26" s="28" t="s">
        <v>184</v>
      </c>
      <c r="G26" s="28" t="s">
        <v>185</v>
      </c>
      <c r="H26" s="28" t="s">
        <v>186</v>
      </c>
      <c r="I26" s="28" t="s">
        <v>21</v>
      </c>
      <c r="J26" s="28" t="s">
        <v>122</v>
      </c>
      <c r="K26" s="28" t="s">
        <v>23</v>
      </c>
      <c r="L26" s="28" t="s">
        <v>78</v>
      </c>
    </row>
    <row r="27" spans="1:12" ht="33.6" customHeight="1" x14ac:dyDescent="0.3">
      <c r="A27" s="28" t="s">
        <v>187</v>
      </c>
      <c r="B27" s="28" t="s">
        <v>15</v>
      </c>
      <c r="C27" s="28" t="s">
        <v>188</v>
      </c>
      <c r="D27" s="28" t="s">
        <v>189</v>
      </c>
      <c r="E27" s="28">
        <v>2026</v>
      </c>
      <c r="F27" s="28" t="s">
        <v>190</v>
      </c>
      <c r="G27" s="28" t="s">
        <v>191</v>
      </c>
      <c r="H27" s="28" t="s">
        <v>192</v>
      </c>
      <c r="I27" s="28" t="s">
        <v>21</v>
      </c>
      <c r="J27" s="28" t="s">
        <v>39</v>
      </c>
      <c r="K27" s="28" t="s">
        <v>23</v>
      </c>
      <c r="L27" s="28" t="s">
        <v>131</v>
      </c>
    </row>
    <row r="28" spans="1:12" ht="33.6" customHeight="1" x14ac:dyDescent="0.3">
      <c r="A28" s="28" t="s">
        <v>193</v>
      </c>
      <c r="B28" s="28" t="s">
        <v>15</v>
      </c>
      <c r="C28" s="28" t="s">
        <v>194</v>
      </c>
      <c r="D28" s="28" t="s">
        <v>195</v>
      </c>
      <c r="E28" s="28">
        <v>2025</v>
      </c>
      <c r="F28" s="28" t="s">
        <v>196</v>
      </c>
      <c r="G28" s="28" t="s">
        <v>197</v>
      </c>
      <c r="H28" s="28" t="s">
        <v>198</v>
      </c>
      <c r="I28" s="28" t="s">
        <v>21</v>
      </c>
      <c r="J28" s="28" t="s">
        <v>199</v>
      </c>
      <c r="K28" s="28" t="s">
        <v>23</v>
      </c>
      <c r="L28" s="28" t="s">
        <v>86</v>
      </c>
    </row>
    <row r="29" spans="1:12" ht="33.6" customHeight="1" x14ac:dyDescent="0.3">
      <c r="A29" s="28" t="s">
        <v>200</v>
      </c>
      <c r="B29" s="28" t="s">
        <v>15</v>
      </c>
      <c r="C29" s="28" t="s">
        <v>201</v>
      </c>
      <c r="D29" s="28" t="s">
        <v>202</v>
      </c>
      <c r="E29" s="28">
        <v>2025</v>
      </c>
      <c r="F29" s="28" t="s">
        <v>203</v>
      </c>
      <c r="G29" s="28" t="s">
        <v>204</v>
      </c>
      <c r="H29" s="28" t="s">
        <v>205</v>
      </c>
      <c r="I29" s="28" t="s">
        <v>21</v>
      </c>
      <c r="J29" s="28" t="s">
        <v>206</v>
      </c>
      <c r="K29" s="28" t="s">
        <v>23</v>
      </c>
      <c r="L29" s="28" t="s">
        <v>78</v>
      </c>
    </row>
    <row r="30" spans="1:12" ht="33.6" customHeight="1" x14ac:dyDescent="0.3">
      <c r="A30" s="28" t="s">
        <v>207</v>
      </c>
      <c r="B30" s="28" t="s">
        <v>15</v>
      </c>
      <c r="C30" s="28" t="s">
        <v>208</v>
      </c>
      <c r="D30" s="28" t="s">
        <v>209</v>
      </c>
      <c r="E30" s="28">
        <v>2022</v>
      </c>
      <c r="F30" s="28" t="s">
        <v>210</v>
      </c>
      <c r="G30" s="28" t="s">
        <v>211</v>
      </c>
      <c r="H30" s="28" t="s">
        <v>212</v>
      </c>
      <c r="I30" s="28" t="s">
        <v>21</v>
      </c>
      <c r="J30" s="28" t="s">
        <v>107</v>
      </c>
      <c r="K30" s="28" t="s">
        <v>23</v>
      </c>
      <c r="L30" s="28" t="s">
        <v>48</v>
      </c>
    </row>
    <row r="31" spans="1:12" ht="33.6" customHeight="1" x14ac:dyDescent="0.3">
      <c r="A31" s="28" t="s">
        <v>213</v>
      </c>
      <c r="B31" s="28" t="s">
        <v>15</v>
      </c>
      <c r="C31" s="28" t="s">
        <v>214</v>
      </c>
      <c r="D31" s="28" t="s">
        <v>215</v>
      </c>
      <c r="E31" s="28">
        <v>2026</v>
      </c>
      <c r="F31" s="28" t="s">
        <v>216</v>
      </c>
      <c r="G31" s="28" t="s">
        <v>217</v>
      </c>
      <c r="H31" s="28" t="s">
        <v>218</v>
      </c>
      <c r="I31" s="28" t="s">
        <v>21</v>
      </c>
      <c r="J31" s="28" t="s">
        <v>219</v>
      </c>
      <c r="K31" s="28" t="s">
        <v>23</v>
      </c>
      <c r="L31" s="28" t="s">
        <v>48</v>
      </c>
    </row>
    <row r="32" spans="1:12" ht="33.6" customHeight="1" x14ac:dyDescent="0.3">
      <c r="A32" s="28" t="s">
        <v>220</v>
      </c>
      <c r="B32" s="28" t="s">
        <v>15</v>
      </c>
      <c r="C32" s="28" t="s">
        <v>221</v>
      </c>
      <c r="D32" s="28" t="s">
        <v>222</v>
      </c>
      <c r="E32" s="28">
        <v>2025</v>
      </c>
      <c r="F32" s="28" t="s">
        <v>223</v>
      </c>
      <c r="G32" s="28" t="s">
        <v>224</v>
      </c>
      <c r="H32" s="28" t="s">
        <v>225</v>
      </c>
      <c r="I32" s="28" t="s">
        <v>21</v>
      </c>
      <c r="J32" s="28" t="s">
        <v>226</v>
      </c>
      <c r="K32" s="28" t="s">
        <v>23</v>
      </c>
      <c r="L32" s="28" t="s">
        <v>78</v>
      </c>
    </row>
    <row r="33" spans="1:12" ht="33.6" customHeight="1" x14ac:dyDescent="0.3">
      <c r="A33" s="28" t="s">
        <v>227</v>
      </c>
      <c r="B33" s="28" t="s">
        <v>15</v>
      </c>
      <c r="C33" s="28" t="s">
        <v>228</v>
      </c>
      <c r="D33" s="28" t="s">
        <v>229</v>
      </c>
      <c r="E33" s="28">
        <v>2026</v>
      </c>
      <c r="F33" s="28" t="s">
        <v>230</v>
      </c>
      <c r="G33" s="28" t="s">
        <v>231</v>
      </c>
      <c r="H33" s="28" t="s">
        <v>232</v>
      </c>
      <c r="I33" s="28" t="s">
        <v>21</v>
      </c>
      <c r="J33" s="28" t="s">
        <v>233</v>
      </c>
      <c r="K33" s="28" t="s">
        <v>23</v>
      </c>
      <c r="L33" s="28" t="s">
        <v>48</v>
      </c>
    </row>
    <row r="34" spans="1:12" ht="33.6" customHeight="1" x14ac:dyDescent="0.3">
      <c r="A34" s="28" t="s">
        <v>234</v>
      </c>
      <c r="B34" s="28" t="s">
        <v>15</v>
      </c>
      <c r="C34" s="28" t="s">
        <v>235</v>
      </c>
      <c r="D34" s="28" t="s">
        <v>236</v>
      </c>
      <c r="E34" s="28">
        <v>2021</v>
      </c>
      <c r="F34" s="28" t="s">
        <v>237</v>
      </c>
      <c r="G34" s="28" t="s">
        <v>238</v>
      </c>
      <c r="H34" s="28" t="s">
        <v>239</v>
      </c>
      <c r="I34" s="28" t="s">
        <v>21</v>
      </c>
      <c r="J34" s="28" t="s">
        <v>240</v>
      </c>
      <c r="K34" s="28" t="s">
        <v>23</v>
      </c>
      <c r="L34" s="28" t="s">
        <v>48</v>
      </c>
    </row>
    <row r="35" spans="1:12" ht="33.6" customHeight="1" x14ac:dyDescent="0.3">
      <c r="A35" s="28" t="s">
        <v>241</v>
      </c>
      <c r="B35" s="28" t="s">
        <v>15</v>
      </c>
      <c r="C35" s="28" t="s">
        <v>242</v>
      </c>
      <c r="D35" s="28" t="s">
        <v>243</v>
      </c>
      <c r="E35" s="28">
        <v>2025</v>
      </c>
      <c r="F35" s="28" t="s">
        <v>244</v>
      </c>
      <c r="G35" s="28" t="s">
        <v>245</v>
      </c>
      <c r="H35" s="28" t="s">
        <v>246</v>
      </c>
      <c r="I35" s="28" t="s">
        <v>21</v>
      </c>
      <c r="J35" s="28" t="s">
        <v>247</v>
      </c>
      <c r="K35" s="28" t="s">
        <v>23</v>
      </c>
      <c r="L35" s="28" t="s">
        <v>248</v>
      </c>
    </row>
    <row r="36" spans="1:12" ht="33.6" customHeight="1" x14ac:dyDescent="0.3">
      <c r="A36" s="28" t="s">
        <v>249</v>
      </c>
      <c r="B36" s="28" t="s">
        <v>15</v>
      </c>
      <c r="C36" s="28" t="s">
        <v>250</v>
      </c>
      <c r="D36" s="28" t="s">
        <v>251</v>
      </c>
      <c r="E36" s="28">
        <v>2024</v>
      </c>
      <c r="F36" s="28" t="s">
        <v>252</v>
      </c>
      <c r="G36" s="28" t="s">
        <v>253</v>
      </c>
      <c r="H36" s="28" t="s">
        <v>254</v>
      </c>
      <c r="I36" s="28" t="s">
        <v>21</v>
      </c>
      <c r="J36" s="28" t="s">
        <v>255</v>
      </c>
      <c r="K36" s="28" t="s">
        <v>23</v>
      </c>
      <c r="L36" s="28" t="s">
        <v>32</v>
      </c>
    </row>
    <row r="37" spans="1:12" ht="33.6" customHeight="1" x14ac:dyDescent="0.3">
      <c r="A37" s="28" t="s">
        <v>256</v>
      </c>
      <c r="B37" s="28" t="s">
        <v>15</v>
      </c>
      <c r="C37" s="28" t="s">
        <v>257</v>
      </c>
      <c r="D37" s="28" t="s">
        <v>258</v>
      </c>
      <c r="E37" s="28">
        <v>2025</v>
      </c>
      <c r="F37" s="28" t="s">
        <v>259</v>
      </c>
      <c r="G37" s="28" t="s">
        <v>260</v>
      </c>
      <c r="H37" s="28" t="s">
        <v>261</v>
      </c>
      <c r="I37" s="28" t="s">
        <v>21</v>
      </c>
      <c r="J37" s="28" t="s">
        <v>262</v>
      </c>
      <c r="K37" s="28" t="s">
        <v>23</v>
      </c>
      <c r="L37" s="28" t="s">
        <v>131</v>
      </c>
    </row>
    <row r="38" spans="1:12" ht="33.6" customHeight="1" x14ac:dyDescent="0.3">
      <c r="A38" s="28" t="s">
        <v>263</v>
      </c>
      <c r="B38" s="28" t="s">
        <v>15</v>
      </c>
      <c r="C38" s="28" t="s">
        <v>264</v>
      </c>
      <c r="D38" s="28" t="s">
        <v>265</v>
      </c>
      <c r="E38" s="28">
        <v>2025</v>
      </c>
      <c r="F38" s="28" t="s">
        <v>266</v>
      </c>
      <c r="G38" s="28" t="s">
        <v>267</v>
      </c>
      <c r="H38" s="28" t="s">
        <v>268</v>
      </c>
      <c r="I38" s="28" t="s">
        <v>21</v>
      </c>
      <c r="J38" s="28" t="s">
        <v>269</v>
      </c>
      <c r="K38" s="28" t="s">
        <v>23</v>
      </c>
      <c r="L38" s="28" t="s">
        <v>48</v>
      </c>
    </row>
    <row r="39" spans="1:12" ht="33.6" customHeight="1" x14ac:dyDescent="0.3">
      <c r="A39" s="28" t="s">
        <v>270</v>
      </c>
      <c r="B39" s="28" t="s">
        <v>15</v>
      </c>
      <c r="C39" s="28" t="s">
        <v>271</v>
      </c>
      <c r="D39" s="28" t="s">
        <v>272</v>
      </c>
      <c r="E39" s="28">
        <v>2021</v>
      </c>
      <c r="F39" s="28" t="s">
        <v>273</v>
      </c>
      <c r="G39" s="28"/>
      <c r="H39" s="28" t="s">
        <v>274</v>
      </c>
      <c r="I39" s="28" t="s">
        <v>21</v>
      </c>
      <c r="J39" s="28" t="s">
        <v>275</v>
      </c>
      <c r="K39" s="28" t="s">
        <v>23</v>
      </c>
      <c r="L39" s="28" t="s">
        <v>123</v>
      </c>
    </row>
    <row r="40" spans="1:12" ht="33.6" customHeight="1" x14ac:dyDescent="0.3">
      <c r="A40" s="28" t="s">
        <v>276</v>
      </c>
      <c r="B40" s="28" t="s">
        <v>15</v>
      </c>
      <c r="C40" s="28" t="s">
        <v>277</v>
      </c>
      <c r="D40" s="28" t="s">
        <v>278</v>
      </c>
      <c r="E40" s="28">
        <v>2023</v>
      </c>
      <c r="F40" s="28" t="s">
        <v>279</v>
      </c>
      <c r="G40" s="28" t="s">
        <v>280</v>
      </c>
      <c r="H40" s="28" t="s">
        <v>281</v>
      </c>
      <c r="I40" s="28" t="s">
        <v>21</v>
      </c>
      <c r="J40" s="28" t="s">
        <v>282</v>
      </c>
      <c r="K40" s="28" t="s">
        <v>23</v>
      </c>
      <c r="L40" s="28" t="s">
        <v>78</v>
      </c>
    </row>
    <row r="41" spans="1:12" ht="33.6" customHeight="1" x14ac:dyDescent="0.3">
      <c r="A41" s="28" t="s">
        <v>283</v>
      </c>
      <c r="B41" s="28" t="s">
        <v>15</v>
      </c>
      <c r="C41" s="28" t="s">
        <v>284</v>
      </c>
      <c r="D41" s="28" t="s">
        <v>285</v>
      </c>
      <c r="E41" s="28">
        <v>2022</v>
      </c>
      <c r="F41" s="28" t="s">
        <v>286</v>
      </c>
      <c r="G41" s="28" t="s">
        <v>287</v>
      </c>
      <c r="H41" s="28" t="s">
        <v>288</v>
      </c>
      <c r="I41" s="28" t="s">
        <v>21</v>
      </c>
      <c r="J41" s="28" t="s">
        <v>39</v>
      </c>
      <c r="K41" s="28" t="s">
        <v>23</v>
      </c>
      <c r="L41" s="28" t="s">
        <v>138</v>
      </c>
    </row>
    <row r="42" spans="1:12" ht="33.6" customHeight="1" x14ac:dyDescent="0.3">
      <c r="A42" s="28" t="s">
        <v>289</v>
      </c>
      <c r="B42" s="28" t="s">
        <v>290</v>
      </c>
      <c r="C42" s="28" t="s">
        <v>291</v>
      </c>
      <c r="D42" s="28" t="s">
        <v>292</v>
      </c>
      <c r="E42" s="28">
        <v>2024</v>
      </c>
      <c r="F42" s="28" t="s">
        <v>293</v>
      </c>
      <c r="G42" s="28" t="s">
        <v>294</v>
      </c>
      <c r="H42" s="28" t="s">
        <v>295</v>
      </c>
      <c r="I42" s="28" t="s">
        <v>21</v>
      </c>
      <c r="J42" s="28" t="s">
        <v>296</v>
      </c>
      <c r="K42" s="28" t="s">
        <v>23</v>
      </c>
      <c r="L42" s="28" t="s">
        <v>297</v>
      </c>
    </row>
    <row r="43" spans="1:12" ht="33.6" customHeight="1" x14ac:dyDescent="0.3">
      <c r="A43" s="28" t="s">
        <v>298</v>
      </c>
      <c r="B43" s="28" t="s">
        <v>290</v>
      </c>
      <c r="C43" s="28" t="s">
        <v>16</v>
      </c>
      <c r="D43" s="28" t="s">
        <v>299</v>
      </c>
      <c r="E43" s="28">
        <v>2019</v>
      </c>
      <c r="F43" s="28" t="s">
        <v>18</v>
      </c>
      <c r="G43" s="28" t="s">
        <v>300</v>
      </c>
      <c r="H43" s="28" t="s">
        <v>301</v>
      </c>
      <c r="I43" s="28" t="s">
        <v>21</v>
      </c>
      <c r="J43" s="28" t="s">
        <v>22</v>
      </c>
      <c r="K43" s="28" t="s">
        <v>23</v>
      </c>
      <c r="L43" s="28" t="s">
        <v>302</v>
      </c>
    </row>
    <row r="44" spans="1:12" ht="33.6" customHeight="1" x14ac:dyDescent="0.3">
      <c r="A44" s="28" t="s">
        <v>303</v>
      </c>
      <c r="B44" s="28" t="s">
        <v>290</v>
      </c>
      <c r="C44" s="28" t="s">
        <v>304</v>
      </c>
      <c r="D44" s="28" t="s">
        <v>305</v>
      </c>
      <c r="E44" s="28">
        <v>2024</v>
      </c>
      <c r="F44" s="28" t="s">
        <v>306</v>
      </c>
      <c r="G44" s="28" t="s">
        <v>307</v>
      </c>
      <c r="H44" s="28" t="s">
        <v>308</v>
      </c>
      <c r="I44" s="28" t="s">
        <v>21</v>
      </c>
      <c r="J44" s="28" t="s">
        <v>206</v>
      </c>
      <c r="K44" s="28" t="s">
        <v>23</v>
      </c>
      <c r="L44" s="28" t="s">
        <v>309</v>
      </c>
    </row>
    <row r="45" spans="1:12" ht="33.6" customHeight="1" x14ac:dyDescent="0.3">
      <c r="A45" s="28" t="s">
        <v>310</v>
      </c>
      <c r="B45" s="28" t="s">
        <v>290</v>
      </c>
      <c r="C45" s="28" t="s">
        <v>311</v>
      </c>
      <c r="D45" s="28" t="s">
        <v>312</v>
      </c>
      <c r="E45" s="28">
        <v>2003</v>
      </c>
      <c r="F45" s="28" t="s">
        <v>313</v>
      </c>
      <c r="G45" s="28" t="s">
        <v>314</v>
      </c>
      <c r="H45" s="28" t="s">
        <v>315</v>
      </c>
      <c r="I45" s="28" t="s">
        <v>21</v>
      </c>
      <c r="J45" s="28" t="s">
        <v>22</v>
      </c>
      <c r="K45" s="28" t="s">
        <v>23</v>
      </c>
      <c r="L45" s="28" t="s">
        <v>316</v>
      </c>
    </row>
    <row r="46" spans="1:12" ht="33.6" customHeight="1" x14ac:dyDescent="0.3">
      <c r="A46" s="28" t="s">
        <v>317</v>
      </c>
      <c r="B46" s="28" t="s">
        <v>290</v>
      </c>
      <c r="C46" s="28" t="s">
        <v>318</v>
      </c>
      <c r="D46" s="28" t="s">
        <v>319</v>
      </c>
      <c r="E46" s="28">
        <v>2014</v>
      </c>
      <c r="F46" s="28" t="s">
        <v>320</v>
      </c>
      <c r="G46" s="28" t="s">
        <v>321</v>
      </c>
      <c r="H46" s="28" t="s">
        <v>322</v>
      </c>
      <c r="I46" s="28" t="s">
        <v>21</v>
      </c>
      <c r="J46" s="28" t="s">
        <v>323</v>
      </c>
      <c r="K46" s="28" t="s">
        <v>23</v>
      </c>
      <c r="L46" s="28" t="s">
        <v>324</v>
      </c>
    </row>
    <row r="47" spans="1:12" ht="33.6" customHeight="1" x14ac:dyDescent="0.3">
      <c r="A47" s="28" t="s">
        <v>325</v>
      </c>
      <c r="B47" s="28" t="s">
        <v>290</v>
      </c>
      <c r="C47" s="28" t="s">
        <v>201</v>
      </c>
      <c r="D47" s="28" t="s">
        <v>326</v>
      </c>
      <c r="E47" s="28">
        <v>2025</v>
      </c>
      <c r="F47" s="28" t="s">
        <v>203</v>
      </c>
      <c r="G47" s="28" t="s">
        <v>327</v>
      </c>
      <c r="H47" s="28" t="s">
        <v>328</v>
      </c>
      <c r="I47" s="28" t="s">
        <v>21</v>
      </c>
      <c r="J47" s="28" t="s">
        <v>206</v>
      </c>
      <c r="K47" s="28" t="s">
        <v>23</v>
      </c>
      <c r="L47" s="28" t="s">
        <v>329</v>
      </c>
    </row>
    <row r="48" spans="1:12" ht="33.6" customHeight="1" x14ac:dyDescent="0.3">
      <c r="A48" s="28" t="s">
        <v>330</v>
      </c>
      <c r="B48" s="28" t="s">
        <v>290</v>
      </c>
      <c r="C48" s="28" t="s">
        <v>331</v>
      </c>
      <c r="D48" s="28" t="s">
        <v>332</v>
      </c>
      <c r="E48" s="28">
        <v>2021</v>
      </c>
      <c r="F48" s="28" t="s">
        <v>333</v>
      </c>
      <c r="G48" s="28" t="s">
        <v>334</v>
      </c>
      <c r="H48" s="28" t="s">
        <v>335</v>
      </c>
      <c r="I48" s="28" t="s">
        <v>21</v>
      </c>
      <c r="J48" s="28" t="s">
        <v>296</v>
      </c>
      <c r="K48" s="28" t="s">
        <v>23</v>
      </c>
      <c r="L48" s="28" t="s">
        <v>336</v>
      </c>
    </row>
    <row r="49" spans="1:12" ht="33.6" customHeight="1" x14ac:dyDescent="0.3">
      <c r="A49" s="28" t="s">
        <v>337</v>
      </c>
      <c r="B49" s="28" t="s">
        <v>338</v>
      </c>
      <c r="C49" s="28" t="s">
        <v>339</v>
      </c>
      <c r="D49" s="28" t="s">
        <v>340</v>
      </c>
      <c r="E49" s="28">
        <v>2025</v>
      </c>
      <c r="F49" s="28" t="s">
        <v>341</v>
      </c>
      <c r="G49" s="28"/>
      <c r="H49" s="28" t="s">
        <v>342</v>
      </c>
      <c r="I49" s="28" t="s">
        <v>21</v>
      </c>
      <c r="J49" s="28" t="s">
        <v>343</v>
      </c>
      <c r="K49" s="28" t="s">
        <v>23</v>
      </c>
      <c r="L49" s="28" t="s">
        <v>344</v>
      </c>
    </row>
    <row r="50" spans="1:12" ht="33.6" customHeight="1" x14ac:dyDescent="0.3">
      <c r="A50" s="28" t="s">
        <v>345</v>
      </c>
      <c r="B50" s="28" t="s">
        <v>338</v>
      </c>
      <c r="C50" s="28" t="s">
        <v>80</v>
      </c>
      <c r="D50" s="28" t="s">
        <v>346</v>
      </c>
      <c r="E50" s="28">
        <v>2024</v>
      </c>
      <c r="F50" s="28" t="s">
        <v>82</v>
      </c>
      <c r="G50" s="28"/>
      <c r="H50" s="28" t="s">
        <v>347</v>
      </c>
      <c r="I50" s="28" t="s">
        <v>21</v>
      </c>
      <c r="J50" s="28" t="s">
        <v>85</v>
      </c>
      <c r="K50" s="28" t="s">
        <v>23</v>
      </c>
      <c r="L50" s="28" t="s">
        <v>348</v>
      </c>
    </row>
    <row r="51" spans="1:12" ht="33.6" customHeight="1" x14ac:dyDescent="0.3">
      <c r="A51" s="28" t="s">
        <v>349</v>
      </c>
      <c r="B51" s="28" t="s">
        <v>338</v>
      </c>
      <c r="C51" s="28" t="s">
        <v>194</v>
      </c>
      <c r="D51" s="28" t="s">
        <v>350</v>
      </c>
      <c r="E51" s="28">
        <v>2025</v>
      </c>
      <c r="F51" s="28" t="s">
        <v>196</v>
      </c>
      <c r="G51" s="28"/>
      <c r="H51" s="28" t="s">
        <v>351</v>
      </c>
      <c r="I51" s="28" t="s">
        <v>21</v>
      </c>
      <c r="J51" s="28" t="s">
        <v>199</v>
      </c>
      <c r="K51" s="28" t="s">
        <v>23</v>
      </c>
      <c r="L51" s="28" t="s">
        <v>352</v>
      </c>
    </row>
    <row r="52" spans="1:12" ht="33.6" customHeight="1" x14ac:dyDescent="0.3"/>
    <row r="53" spans="1:12" ht="33.6" customHeight="1" x14ac:dyDescent="0.3">
      <c r="A53" s="30" t="s">
        <v>353</v>
      </c>
      <c r="B53" s="30" t="s">
        <v>354</v>
      </c>
    </row>
    <row r="54" spans="1:12" ht="33.6" customHeight="1" x14ac:dyDescent="0.3">
      <c r="A54" s="31" t="s">
        <v>15</v>
      </c>
      <c r="B54" s="31">
        <f>COUNTIF($B$4:$B$51,"Scopus")</f>
        <v>38</v>
      </c>
    </row>
    <row r="55" spans="1:12" ht="33.6" customHeight="1" x14ac:dyDescent="0.3">
      <c r="A55" s="31" t="s">
        <v>355</v>
      </c>
      <c r="B55" s="31">
        <f>COUNTIF($B$4:$B$51,"IEEE Xplore")</f>
        <v>0</v>
      </c>
    </row>
    <row r="56" spans="1:12" ht="33.6" customHeight="1" x14ac:dyDescent="0.3">
      <c r="A56" s="31" t="s">
        <v>356</v>
      </c>
      <c r="B56" s="31">
        <f>COUNTIF($B$4:$B$51,"Web of Science")</f>
        <v>0</v>
      </c>
    </row>
    <row r="57" spans="1:12" ht="33.6" customHeight="1" x14ac:dyDescent="0.3">
      <c r="A57" s="31" t="s">
        <v>338</v>
      </c>
      <c r="B57" s="31">
        <f>COUNTIF($B$4:$B$51,"Springer")</f>
        <v>3</v>
      </c>
    </row>
    <row r="58" spans="1:12" ht="33.6" customHeight="1" x14ac:dyDescent="0.3">
      <c r="A58" s="31" t="s">
        <v>290</v>
      </c>
      <c r="B58" s="31">
        <f>COUNTIF($B$4:$B$51,"Science Direct")</f>
        <v>7</v>
      </c>
    </row>
    <row r="59" spans="1:12" ht="33.6" customHeight="1" x14ac:dyDescent="0.3">
      <c r="A59" s="32" t="s">
        <v>357</v>
      </c>
      <c r="B59" s="32">
        <f>SUM(B54:B58)</f>
        <v>48</v>
      </c>
    </row>
    <row r="60" spans="1:12" ht="33.6" customHeight="1" x14ac:dyDescent="0.3"/>
    <row r="61" spans="1:12" ht="33.6" customHeight="1" x14ac:dyDescent="0.3"/>
    <row r="62" spans="1:12" ht="33.6" customHeight="1" x14ac:dyDescent="0.3"/>
    <row r="63" spans="1:12" ht="33.6" customHeight="1" x14ac:dyDescent="0.3"/>
    <row r="64" spans="1:12" ht="33.6" customHeight="1" x14ac:dyDescent="0.3"/>
    <row r="65" ht="33.6" customHeight="1" x14ac:dyDescent="0.3"/>
    <row r="66" ht="33.6" customHeight="1" x14ac:dyDescent="0.3"/>
    <row r="67" ht="33.6" customHeight="1" x14ac:dyDescent="0.3"/>
    <row r="68" ht="33.6" customHeight="1" x14ac:dyDescent="0.3"/>
    <row r="69" ht="33.6" customHeight="1" x14ac:dyDescent="0.3"/>
    <row r="70" ht="33.6" customHeight="1" x14ac:dyDescent="0.3"/>
    <row r="71" ht="33.6" customHeight="1" x14ac:dyDescent="0.3"/>
    <row r="72" ht="33.6" customHeight="1" x14ac:dyDescent="0.3"/>
    <row r="73" ht="33.6" customHeight="1" x14ac:dyDescent="0.3"/>
    <row r="74" ht="33.6" customHeight="1" x14ac:dyDescent="0.3"/>
    <row r="75" ht="33.6" customHeight="1" x14ac:dyDescent="0.3"/>
    <row r="76" ht="33.6" customHeight="1" x14ac:dyDescent="0.3"/>
    <row r="77" ht="33.6" customHeight="1" x14ac:dyDescent="0.3"/>
    <row r="78" ht="33.6" customHeight="1" x14ac:dyDescent="0.3"/>
    <row r="79" ht="33.6" customHeight="1" x14ac:dyDescent="0.3"/>
    <row r="80" ht="33.6" customHeight="1" x14ac:dyDescent="0.3"/>
    <row r="81" ht="33.6" customHeight="1" x14ac:dyDescent="0.3"/>
    <row r="82" ht="33.6" customHeight="1" x14ac:dyDescent="0.3"/>
    <row r="83" ht="33.6" customHeight="1" x14ac:dyDescent="0.3"/>
    <row r="84" ht="33.6" customHeight="1" x14ac:dyDescent="0.3"/>
    <row r="85" ht="33.6" customHeight="1" x14ac:dyDescent="0.3"/>
    <row r="86" ht="33.6" customHeight="1" x14ac:dyDescent="0.3"/>
    <row r="87" ht="33.6" customHeight="1" x14ac:dyDescent="0.3"/>
    <row r="88" ht="33.6" customHeight="1" x14ac:dyDescent="0.3"/>
    <row r="89" ht="33.6" customHeight="1" x14ac:dyDescent="0.3"/>
    <row r="90" ht="33.6" customHeight="1" x14ac:dyDescent="0.3"/>
    <row r="91" ht="33.6" customHeight="1" x14ac:dyDescent="0.3"/>
    <row r="92" ht="33.6" customHeight="1" x14ac:dyDescent="0.3"/>
    <row r="93" ht="33.6" customHeight="1" x14ac:dyDescent="0.3"/>
    <row r="94" ht="33.6" customHeight="1" x14ac:dyDescent="0.3"/>
    <row r="95" ht="33.6" customHeight="1" x14ac:dyDescent="0.3"/>
    <row r="96" ht="33.6" customHeight="1" x14ac:dyDescent="0.3"/>
    <row r="97" ht="33.6" customHeight="1" x14ac:dyDescent="0.3"/>
    <row r="98" ht="33.6" customHeight="1" x14ac:dyDescent="0.3"/>
    <row r="99" ht="33.6" customHeight="1" x14ac:dyDescent="0.3"/>
    <row r="100" ht="33.6" customHeight="1" x14ac:dyDescent="0.3"/>
    <row r="101" ht="33.6" customHeight="1" x14ac:dyDescent="0.3"/>
    <row r="102" ht="33.6" customHeight="1" x14ac:dyDescent="0.3"/>
    <row r="103" ht="33.6" customHeight="1" x14ac:dyDescent="0.3"/>
    <row r="104" ht="33.6" customHeight="1" x14ac:dyDescent="0.3"/>
    <row r="105" ht="33.6" customHeight="1" x14ac:dyDescent="0.3"/>
    <row r="106" ht="33.6" customHeight="1" x14ac:dyDescent="0.3"/>
    <row r="107" ht="33.6" customHeight="1" x14ac:dyDescent="0.3"/>
    <row r="108" ht="33.6" customHeight="1" x14ac:dyDescent="0.3"/>
    <row r="109" ht="33.6" customHeight="1" x14ac:dyDescent="0.3"/>
    <row r="110" ht="33.6" customHeight="1" x14ac:dyDescent="0.3"/>
    <row r="111" ht="33.6" customHeight="1" x14ac:dyDescent="0.3"/>
    <row r="112" ht="33.6" customHeight="1" x14ac:dyDescent="0.3"/>
    <row r="113" ht="33.6" customHeight="1" x14ac:dyDescent="0.3"/>
    <row r="114" ht="33.6" customHeight="1" x14ac:dyDescent="0.3"/>
    <row r="115" ht="33.6" customHeight="1" x14ac:dyDescent="0.3"/>
    <row r="116" ht="33.6" customHeight="1" x14ac:dyDescent="0.3"/>
    <row r="117" ht="33.6" customHeight="1" x14ac:dyDescent="0.3"/>
    <row r="118" ht="33.6" customHeight="1" x14ac:dyDescent="0.3"/>
    <row r="119" ht="33.6" customHeight="1" x14ac:dyDescent="0.3"/>
    <row r="120" ht="33.6" customHeight="1" x14ac:dyDescent="0.3"/>
    <row r="121" ht="33.6" customHeight="1" x14ac:dyDescent="0.3"/>
    <row r="122" ht="33.6" customHeight="1" x14ac:dyDescent="0.3"/>
    <row r="123" ht="33.6" customHeight="1" x14ac:dyDescent="0.3"/>
    <row r="124" ht="33.6" customHeight="1" x14ac:dyDescent="0.3"/>
    <row r="125" ht="33.6" customHeight="1" x14ac:dyDescent="0.3"/>
    <row r="126" ht="33.6" customHeight="1" x14ac:dyDescent="0.3"/>
    <row r="127" ht="33.6" customHeight="1" x14ac:dyDescent="0.3"/>
    <row r="128" ht="33.6" customHeight="1" x14ac:dyDescent="0.3"/>
    <row r="129" ht="33.6" customHeight="1" x14ac:dyDescent="0.3"/>
    <row r="130" ht="33.6" customHeight="1" x14ac:dyDescent="0.3"/>
    <row r="131" ht="33.6" customHeight="1" x14ac:dyDescent="0.3"/>
    <row r="132" ht="33.6" customHeight="1" x14ac:dyDescent="0.3"/>
    <row r="133" ht="33.6" customHeight="1" x14ac:dyDescent="0.3"/>
    <row r="134" ht="33.6" customHeight="1" x14ac:dyDescent="0.3"/>
    <row r="135" ht="33.6" customHeight="1" x14ac:dyDescent="0.3"/>
    <row r="136" ht="33.6" customHeight="1" x14ac:dyDescent="0.3"/>
    <row r="137" ht="33.6" customHeight="1" x14ac:dyDescent="0.3"/>
    <row r="138" ht="33.6" customHeight="1" x14ac:dyDescent="0.3"/>
    <row r="139" ht="33.6" customHeight="1" x14ac:dyDescent="0.3"/>
    <row r="140" ht="33.6" customHeight="1" x14ac:dyDescent="0.3"/>
    <row r="141" ht="33.6" customHeight="1" x14ac:dyDescent="0.3"/>
    <row r="142" ht="33.6" customHeight="1" x14ac:dyDescent="0.3"/>
    <row r="143" ht="33.6" customHeight="1" x14ac:dyDescent="0.3"/>
    <row r="144" ht="33.6" customHeight="1" x14ac:dyDescent="0.3"/>
    <row r="145" ht="33.6" customHeight="1" x14ac:dyDescent="0.3"/>
    <row r="146" ht="33.6" customHeight="1" x14ac:dyDescent="0.3"/>
    <row r="147" ht="33.6" customHeight="1" x14ac:dyDescent="0.3"/>
    <row r="148" ht="33.6" customHeight="1" x14ac:dyDescent="0.3"/>
    <row r="149" ht="33.6" customHeight="1" x14ac:dyDescent="0.3"/>
    <row r="150" ht="33.6" customHeight="1" x14ac:dyDescent="0.3"/>
    <row r="151" ht="33.6" customHeight="1" x14ac:dyDescent="0.3"/>
    <row r="152" ht="33.6" customHeight="1" x14ac:dyDescent="0.3"/>
    <row r="153" ht="33.6" customHeight="1" x14ac:dyDescent="0.3"/>
    <row r="154" ht="33.6" customHeight="1" x14ac:dyDescent="0.3"/>
    <row r="155" ht="33.6" customHeight="1" x14ac:dyDescent="0.3"/>
    <row r="156" ht="33.6" customHeight="1" x14ac:dyDescent="0.3"/>
    <row r="157" ht="33.6" customHeight="1" x14ac:dyDescent="0.3"/>
    <row r="158" ht="33.6" customHeight="1" x14ac:dyDescent="0.3"/>
    <row r="159" ht="33.6" customHeight="1" x14ac:dyDescent="0.3"/>
    <row r="160" ht="33.6" customHeight="1" x14ac:dyDescent="0.3"/>
    <row r="161" ht="33.6" customHeight="1" x14ac:dyDescent="0.3"/>
    <row r="162" ht="33.6" customHeight="1" x14ac:dyDescent="0.3"/>
    <row r="163" ht="33.6" customHeight="1" x14ac:dyDescent="0.3"/>
    <row r="164" ht="33.6" customHeight="1" x14ac:dyDescent="0.3"/>
    <row r="165" ht="33.6" customHeight="1" x14ac:dyDescent="0.3"/>
    <row r="166" ht="33.6" customHeight="1" x14ac:dyDescent="0.3"/>
    <row r="167" ht="33.6" customHeight="1" x14ac:dyDescent="0.3"/>
    <row r="168" ht="33.6" customHeight="1" x14ac:dyDescent="0.3"/>
    <row r="169" ht="33.6" customHeight="1" x14ac:dyDescent="0.3"/>
    <row r="170" ht="33.6" customHeight="1" x14ac:dyDescent="0.3"/>
    <row r="171" ht="33.6" customHeight="1" x14ac:dyDescent="0.3"/>
    <row r="172" ht="33.6" customHeight="1" x14ac:dyDescent="0.3"/>
    <row r="173" ht="33.6" customHeight="1" x14ac:dyDescent="0.3"/>
    <row r="174" ht="33.6" customHeight="1" x14ac:dyDescent="0.3"/>
    <row r="175" ht="33.6" customHeight="1" x14ac:dyDescent="0.3"/>
    <row r="176" ht="33.6" customHeight="1" x14ac:dyDescent="0.3"/>
    <row r="177" ht="33.6" customHeight="1" x14ac:dyDescent="0.3"/>
    <row r="178" ht="33.6" customHeight="1" x14ac:dyDescent="0.3"/>
    <row r="179" ht="33.6" customHeight="1" x14ac:dyDescent="0.3"/>
    <row r="180" ht="33.6" customHeight="1" x14ac:dyDescent="0.3"/>
    <row r="181" ht="33.6" customHeight="1" x14ac:dyDescent="0.3"/>
    <row r="182" ht="33.6" customHeight="1" x14ac:dyDescent="0.3"/>
    <row r="183" ht="33.6" customHeight="1" x14ac:dyDescent="0.3"/>
    <row r="184" ht="33.6" customHeight="1" x14ac:dyDescent="0.3"/>
    <row r="185" ht="33.6" customHeight="1" x14ac:dyDescent="0.3"/>
    <row r="186" ht="33.6" customHeight="1" x14ac:dyDescent="0.3"/>
    <row r="187" ht="33.6" customHeight="1" x14ac:dyDescent="0.3"/>
    <row r="188" ht="33.6" customHeight="1" x14ac:dyDescent="0.3"/>
    <row r="189" ht="33.6" customHeight="1" x14ac:dyDescent="0.3"/>
    <row r="190" ht="33.6" customHeight="1" x14ac:dyDescent="0.3"/>
    <row r="191" ht="33.6" customHeight="1" x14ac:dyDescent="0.3"/>
    <row r="192" ht="33.6" customHeight="1" x14ac:dyDescent="0.3"/>
    <row r="193" ht="33.6" customHeight="1" x14ac:dyDescent="0.3"/>
    <row r="194" ht="33.6" customHeight="1" x14ac:dyDescent="0.3"/>
    <row r="195" ht="33.6" customHeight="1" x14ac:dyDescent="0.3"/>
    <row r="196" ht="33.6" customHeight="1" x14ac:dyDescent="0.3"/>
    <row r="197" ht="33.6" customHeight="1" x14ac:dyDescent="0.3"/>
    <row r="198" ht="33.6" customHeight="1" x14ac:dyDescent="0.3"/>
    <row r="199" ht="33.6" customHeight="1" x14ac:dyDescent="0.3"/>
    <row r="200" ht="33.6" customHeight="1" x14ac:dyDescent="0.3"/>
    <row r="201" ht="33.6" customHeight="1" x14ac:dyDescent="0.3"/>
    <row r="202" ht="33.6" customHeight="1" x14ac:dyDescent="0.3"/>
    <row r="203" ht="33.6" customHeight="1" x14ac:dyDescent="0.3"/>
    <row r="204" ht="33.6" customHeight="1" x14ac:dyDescent="0.3"/>
    <row r="205" ht="33.6" customHeight="1" x14ac:dyDescent="0.3"/>
    <row r="206" ht="33.6" customHeight="1" x14ac:dyDescent="0.3"/>
    <row r="207" ht="33.6" customHeight="1" x14ac:dyDescent="0.3"/>
    <row r="208" ht="57" customHeight="1" x14ac:dyDescent="0.3"/>
    <row r="209" ht="33.6" customHeight="1" x14ac:dyDescent="0.3"/>
    <row r="210" ht="33.6" customHeight="1" x14ac:dyDescent="0.3"/>
    <row r="211" ht="33.6" customHeight="1" x14ac:dyDescent="0.3"/>
    <row r="212" ht="33.6" customHeight="1" x14ac:dyDescent="0.3"/>
    <row r="213" ht="33.6" customHeight="1" x14ac:dyDescent="0.3"/>
    <row r="214" ht="33.6" customHeight="1" x14ac:dyDescent="0.3"/>
    <row r="215" ht="33.6" customHeight="1" x14ac:dyDescent="0.3"/>
    <row r="216" ht="33.6" customHeight="1" x14ac:dyDescent="0.3"/>
    <row r="217" ht="33.6" customHeight="1" x14ac:dyDescent="0.3"/>
    <row r="218" ht="33.6" customHeight="1" x14ac:dyDescent="0.3"/>
    <row r="219" ht="33.6" customHeight="1" x14ac:dyDescent="0.3"/>
    <row r="220" ht="33.6" customHeight="1" x14ac:dyDescent="0.3"/>
    <row r="221" ht="33.6" customHeight="1" x14ac:dyDescent="0.3"/>
    <row r="222" ht="33.6" customHeight="1" x14ac:dyDescent="0.3"/>
    <row r="223" ht="33.6" customHeight="1" x14ac:dyDescent="0.3"/>
    <row r="224" ht="33.6" customHeight="1" x14ac:dyDescent="0.3"/>
    <row r="225" ht="33.6" customHeight="1" x14ac:dyDescent="0.3"/>
    <row r="226" ht="33.6" customHeight="1" x14ac:dyDescent="0.3"/>
    <row r="227" ht="33.6" customHeight="1" x14ac:dyDescent="0.3"/>
    <row r="228" ht="33.6" customHeight="1" x14ac:dyDescent="0.3"/>
    <row r="229" ht="33.6" customHeight="1" x14ac:dyDescent="0.3"/>
    <row r="230" ht="33.6" customHeight="1" x14ac:dyDescent="0.3"/>
    <row r="231" ht="33.6" customHeight="1" x14ac:dyDescent="0.3"/>
    <row r="232" ht="33.6" customHeight="1" x14ac:dyDescent="0.3"/>
    <row r="233" ht="33.6" customHeight="1" x14ac:dyDescent="0.3"/>
    <row r="234" ht="33.6" customHeight="1" x14ac:dyDescent="0.3"/>
    <row r="235" ht="33.6" customHeight="1" x14ac:dyDescent="0.3"/>
    <row r="236" ht="33.6" customHeight="1" x14ac:dyDescent="0.3"/>
    <row r="237" ht="33.6" customHeight="1" x14ac:dyDescent="0.3"/>
    <row r="238" ht="33.6" customHeight="1" x14ac:dyDescent="0.3"/>
    <row r="239" ht="33.6" customHeight="1" x14ac:dyDescent="0.3"/>
    <row r="240" ht="33.6" customHeight="1" x14ac:dyDescent="0.3"/>
    <row r="241" ht="33.6" customHeight="1" x14ac:dyDescent="0.3"/>
    <row r="242" ht="33.6" customHeight="1" x14ac:dyDescent="0.3"/>
    <row r="243" ht="33.6" customHeight="1" x14ac:dyDescent="0.3"/>
    <row r="244" ht="33.6" customHeight="1" x14ac:dyDescent="0.3"/>
    <row r="245" ht="33.6" customHeight="1" x14ac:dyDescent="0.3"/>
    <row r="246" ht="33.6" customHeight="1" x14ac:dyDescent="0.3"/>
    <row r="247" ht="33.6" customHeight="1" x14ac:dyDescent="0.3"/>
    <row r="248" ht="33.6" customHeight="1" x14ac:dyDescent="0.3"/>
    <row r="249" ht="33.6" customHeight="1" x14ac:dyDescent="0.3"/>
    <row r="250" ht="33.6" customHeight="1" x14ac:dyDescent="0.3"/>
    <row r="251" ht="33.6" customHeight="1" x14ac:dyDescent="0.3"/>
    <row r="252" ht="33.6" customHeight="1" x14ac:dyDescent="0.3"/>
    <row r="253" ht="33.6" customHeight="1" x14ac:dyDescent="0.3"/>
    <row r="254" ht="33.6" customHeight="1" x14ac:dyDescent="0.3"/>
    <row r="255" ht="33.6" customHeight="1" x14ac:dyDescent="0.3"/>
    <row r="256" ht="33.6" customHeight="1" x14ac:dyDescent="0.3"/>
    <row r="257" ht="33.6" customHeight="1" x14ac:dyDescent="0.3"/>
    <row r="258" ht="33.6" customHeight="1" x14ac:dyDescent="0.3"/>
    <row r="259" ht="33.6" customHeight="1" x14ac:dyDescent="0.3"/>
    <row r="260" ht="33.6" customHeight="1" x14ac:dyDescent="0.3"/>
    <row r="261" ht="33.6" customHeight="1" x14ac:dyDescent="0.3"/>
    <row r="262" ht="33.6" customHeight="1" x14ac:dyDescent="0.3"/>
    <row r="263" ht="33.6" customHeight="1" x14ac:dyDescent="0.3"/>
    <row r="264" ht="33.6" customHeight="1" x14ac:dyDescent="0.3"/>
    <row r="265" ht="33.6" customHeight="1" x14ac:dyDescent="0.3"/>
    <row r="266" ht="33.6" customHeight="1" x14ac:dyDescent="0.3"/>
    <row r="267" ht="33.6" customHeight="1" x14ac:dyDescent="0.3"/>
    <row r="268" ht="33.6" customHeight="1" x14ac:dyDescent="0.3"/>
    <row r="269" ht="33.6" customHeight="1" x14ac:dyDescent="0.3"/>
    <row r="270" ht="33.6" customHeight="1" x14ac:dyDescent="0.3"/>
    <row r="271" ht="33.6" customHeight="1" x14ac:dyDescent="0.3"/>
    <row r="272" ht="33.6" customHeight="1" x14ac:dyDescent="0.3"/>
    <row r="273" ht="33.6" customHeight="1" x14ac:dyDescent="0.3"/>
    <row r="274" ht="33.6" customHeight="1" x14ac:dyDescent="0.3"/>
    <row r="275" ht="33.6" customHeight="1" x14ac:dyDescent="0.3"/>
    <row r="276" ht="33.6" customHeight="1" x14ac:dyDescent="0.3"/>
    <row r="277" ht="33.6" customHeight="1" x14ac:dyDescent="0.3"/>
    <row r="278" ht="33.6" customHeight="1" x14ac:dyDescent="0.3"/>
    <row r="279" ht="33.6" customHeight="1" x14ac:dyDescent="0.3"/>
    <row r="280" ht="33.6" customHeight="1" x14ac:dyDescent="0.3"/>
    <row r="281" ht="33.6" customHeight="1" x14ac:dyDescent="0.3"/>
    <row r="282" ht="33.6" customHeight="1" x14ac:dyDescent="0.3"/>
    <row r="283" ht="33.6" customHeight="1" x14ac:dyDescent="0.3"/>
    <row r="284" ht="33.6" customHeight="1" x14ac:dyDescent="0.3"/>
    <row r="285" ht="33.6" customHeight="1" x14ac:dyDescent="0.3"/>
    <row r="286" ht="33.6" customHeight="1" x14ac:dyDescent="0.3"/>
    <row r="287" ht="33.6" customHeight="1" x14ac:dyDescent="0.3"/>
    <row r="288" ht="33.6" customHeight="1" x14ac:dyDescent="0.3"/>
    <row r="289" ht="33.6" customHeight="1" x14ac:dyDescent="0.3"/>
    <row r="290" ht="33.6" customHeight="1" x14ac:dyDescent="0.3"/>
    <row r="291" ht="33.6" customHeight="1" x14ac:dyDescent="0.3"/>
    <row r="292" ht="33.6" customHeight="1" x14ac:dyDescent="0.3"/>
    <row r="293" ht="33.6" customHeight="1" x14ac:dyDescent="0.3"/>
    <row r="294" ht="33.6" customHeight="1" x14ac:dyDescent="0.3"/>
    <row r="295" ht="33.6" customHeight="1" x14ac:dyDescent="0.3"/>
    <row r="296" ht="33.6" customHeight="1" x14ac:dyDescent="0.3"/>
    <row r="297" ht="33.6" customHeight="1" x14ac:dyDescent="0.3"/>
    <row r="298" ht="33.6" customHeight="1" x14ac:dyDescent="0.3"/>
    <row r="299" ht="33.6" customHeight="1" x14ac:dyDescent="0.3"/>
    <row r="300" ht="33.6" customHeight="1" x14ac:dyDescent="0.3"/>
    <row r="301" ht="33.6" customHeight="1" x14ac:dyDescent="0.3"/>
    <row r="302" ht="33.6" customHeight="1" x14ac:dyDescent="0.3"/>
    <row r="303" ht="33.6" customHeight="1" x14ac:dyDescent="0.3"/>
    <row r="304" ht="33.6" customHeight="1" x14ac:dyDescent="0.3"/>
    <row r="305" ht="33.6" customHeight="1" x14ac:dyDescent="0.3"/>
    <row r="306" ht="33.6" customHeight="1" x14ac:dyDescent="0.3"/>
    <row r="307" ht="33.6" customHeight="1" x14ac:dyDescent="0.3"/>
    <row r="308" ht="33.6" customHeight="1" x14ac:dyDescent="0.3"/>
    <row r="309" ht="33.6" customHeight="1" x14ac:dyDescent="0.3"/>
    <row r="310" ht="33.6" customHeight="1" x14ac:dyDescent="0.3"/>
    <row r="311" ht="33.6" customHeight="1" x14ac:dyDescent="0.3"/>
    <row r="312" ht="33.6" customHeight="1" x14ac:dyDescent="0.3"/>
    <row r="313" ht="33.6" customHeight="1" x14ac:dyDescent="0.3"/>
    <row r="314" ht="33.6" customHeight="1" x14ac:dyDescent="0.3"/>
    <row r="315" ht="33.6" customHeight="1" x14ac:dyDescent="0.3"/>
    <row r="316" ht="33.6" customHeight="1" x14ac:dyDescent="0.3"/>
    <row r="317" ht="33.6" customHeight="1" x14ac:dyDescent="0.3"/>
    <row r="318" ht="33.6" customHeight="1" x14ac:dyDescent="0.3"/>
    <row r="319" ht="33.6" customHeight="1" x14ac:dyDescent="0.3"/>
    <row r="320" ht="33.6" customHeight="1" x14ac:dyDescent="0.3"/>
    <row r="321" ht="33.6" customHeight="1" x14ac:dyDescent="0.3"/>
    <row r="322" ht="33.6" customHeight="1" x14ac:dyDescent="0.3"/>
    <row r="323" ht="33.6" customHeight="1" x14ac:dyDescent="0.3"/>
    <row r="324" ht="33.6" customHeight="1" x14ac:dyDescent="0.3"/>
    <row r="325" ht="33.6" customHeight="1" x14ac:dyDescent="0.3"/>
    <row r="326" ht="33.6" customHeight="1" x14ac:dyDescent="0.3"/>
    <row r="327" ht="33.6" customHeight="1" x14ac:dyDescent="0.3"/>
    <row r="328" ht="33.6" customHeight="1" x14ac:dyDescent="0.3"/>
    <row r="329" ht="33.6" customHeight="1" x14ac:dyDescent="0.3"/>
    <row r="330" ht="33.6" customHeight="1" x14ac:dyDescent="0.3"/>
    <row r="331" ht="33.6" customHeight="1" x14ac:dyDescent="0.3"/>
    <row r="332" ht="33.6" customHeight="1" x14ac:dyDescent="0.3"/>
    <row r="333" ht="33.6" customHeight="1" x14ac:dyDescent="0.3"/>
    <row r="334" ht="33.6" customHeight="1" x14ac:dyDescent="0.3"/>
    <row r="335" ht="33.6" customHeight="1" x14ac:dyDescent="0.3"/>
    <row r="336" ht="33.6" customHeight="1" x14ac:dyDescent="0.3"/>
    <row r="337" ht="33.6" customHeight="1" x14ac:dyDescent="0.3"/>
    <row r="338" ht="33.6" customHeight="1" x14ac:dyDescent="0.3"/>
    <row r="339" ht="33.6" customHeight="1" x14ac:dyDescent="0.3"/>
    <row r="340" ht="33.6" customHeight="1" x14ac:dyDescent="0.3"/>
    <row r="341" ht="33.6" customHeight="1" x14ac:dyDescent="0.3"/>
    <row r="342" ht="33.6" customHeight="1" x14ac:dyDescent="0.3"/>
    <row r="343" ht="33.6" customHeight="1" x14ac:dyDescent="0.3"/>
    <row r="344" ht="33.6" customHeight="1" x14ac:dyDescent="0.3"/>
    <row r="345" ht="33.6" customHeight="1" x14ac:dyDescent="0.3"/>
    <row r="346" ht="33.6" customHeight="1" x14ac:dyDescent="0.3"/>
    <row r="347" ht="33.6" customHeight="1" x14ac:dyDescent="0.3"/>
    <row r="348" ht="33.6" customHeight="1" x14ac:dyDescent="0.3"/>
    <row r="349" ht="33.6" customHeight="1" x14ac:dyDescent="0.3"/>
    <row r="350" ht="33.6" customHeight="1" x14ac:dyDescent="0.3"/>
    <row r="351" ht="33.6" customHeight="1" x14ac:dyDescent="0.3"/>
    <row r="352" ht="33.6" customHeight="1" x14ac:dyDescent="0.3"/>
    <row r="353" ht="33.6" customHeight="1" x14ac:dyDescent="0.3"/>
    <row r="354" ht="33.6" customHeight="1" x14ac:dyDescent="0.3"/>
    <row r="355" ht="33.6" customHeight="1" x14ac:dyDescent="0.3"/>
    <row r="356" ht="33.6" customHeight="1" x14ac:dyDescent="0.3"/>
    <row r="357" ht="33.6" customHeight="1" x14ac:dyDescent="0.3"/>
    <row r="358" ht="33.6" customHeight="1" x14ac:dyDescent="0.3"/>
    <row r="359" ht="33.6" customHeight="1" x14ac:dyDescent="0.3"/>
    <row r="360" ht="33.6" customHeight="1" x14ac:dyDescent="0.3"/>
    <row r="361" ht="33.6" customHeight="1" x14ac:dyDescent="0.3"/>
    <row r="362" ht="33.6" customHeight="1" x14ac:dyDescent="0.3"/>
    <row r="363" ht="33.6" customHeight="1" x14ac:dyDescent="0.3"/>
    <row r="364" ht="33.6" customHeight="1" x14ac:dyDescent="0.3"/>
    <row r="365" ht="33.6" customHeight="1" x14ac:dyDescent="0.3"/>
    <row r="366" ht="33.6" customHeight="1" x14ac:dyDescent="0.3"/>
    <row r="367" ht="33.6" customHeight="1" x14ac:dyDescent="0.3"/>
    <row r="368" ht="33.6" customHeight="1" x14ac:dyDescent="0.3"/>
    <row r="369" ht="33.6" customHeight="1" x14ac:dyDescent="0.3"/>
    <row r="370" ht="33.6" customHeight="1" x14ac:dyDescent="0.3"/>
    <row r="371" ht="33.6" customHeight="1" x14ac:dyDescent="0.3"/>
    <row r="372" ht="33.6" customHeight="1" x14ac:dyDescent="0.3"/>
    <row r="373" ht="33.6" customHeight="1" x14ac:dyDescent="0.3"/>
    <row r="374" ht="33.6" customHeight="1" x14ac:dyDescent="0.3"/>
    <row r="375" ht="33.6" customHeight="1" x14ac:dyDescent="0.3"/>
    <row r="376" ht="33.6" customHeight="1" x14ac:dyDescent="0.3"/>
    <row r="377" ht="33.6" customHeight="1" x14ac:dyDescent="0.3"/>
    <row r="378" ht="33.6" customHeight="1" x14ac:dyDescent="0.3"/>
    <row r="379" ht="33.6" customHeight="1" x14ac:dyDescent="0.3"/>
    <row r="380" ht="33.6" customHeight="1" x14ac:dyDescent="0.3"/>
    <row r="381" ht="33.6" customHeight="1" x14ac:dyDescent="0.3"/>
    <row r="382" ht="33.6" customHeight="1" x14ac:dyDescent="0.3"/>
    <row r="383" ht="33.6" customHeight="1" x14ac:dyDescent="0.3"/>
    <row r="384" ht="33.6" customHeight="1" x14ac:dyDescent="0.3"/>
    <row r="385" ht="33.6" customHeight="1" x14ac:dyDescent="0.3"/>
    <row r="386" ht="33.6" customHeight="1" x14ac:dyDescent="0.3"/>
    <row r="387" ht="33.6" customHeight="1" x14ac:dyDescent="0.3"/>
    <row r="388" ht="33.6" customHeight="1" x14ac:dyDescent="0.3"/>
    <row r="389" ht="33.6" customHeight="1" x14ac:dyDescent="0.3"/>
    <row r="390" ht="33.6" customHeight="1" x14ac:dyDescent="0.3"/>
    <row r="391" ht="33.6" customHeight="1" x14ac:dyDescent="0.3"/>
    <row r="392" ht="33.6" customHeight="1" x14ac:dyDescent="0.3"/>
    <row r="393" ht="33.6" customHeight="1" x14ac:dyDescent="0.3"/>
    <row r="394" ht="33.6" customHeight="1" x14ac:dyDescent="0.3"/>
    <row r="395" ht="33.6" customHeight="1" x14ac:dyDescent="0.3"/>
    <row r="396" ht="33.6" customHeight="1" x14ac:dyDescent="0.3"/>
    <row r="397" ht="33.6" customHeight="1" x14ac:dyDescent="0.3"/>
    <row r="398" ht="33.6" customHeight="1" x14ac:dyDescent="0.3"/>
    <row r="399" ht="33.6" customHeight="1" x14ac:dyDescent="0.3"/>
    <row r="400" ht="33.6" customHeight="1" x14ac:dyDescent="0.3"/>
    <row r="401" ht="33.6" customHeight="1" x14ac:dyDescent="0.3"/>
    <row r="402" ht="33.6" customHeight="1" x14ac:dyDescent="0.3"/>
    <row r="403" ht="33.6" customHeight="1" x14ac:dyDescent="0.3"/>
    <row r="404" ht="33.6" customHeight="1" x14ac:dyDescent="0.3"/>
    <row r="405" ht="33.6" customHeight="1" x14ac:dyDescent="0.3"/>
    <row r="406" ht="33.6" customHeight="1" x14ac:dyDescent="0.3"/>
    <row r="407" ht="33.6" customHeight="1" x14ac:dyDescent="0.3"/>
    <row r="408" ht="33.6" customHeight="1" x14ac:dyDescent="0.3"/>
    <row r="409" ht="33.6" customHeight="1" x14ac:dyDescent="0.3"/>
    <row r="410" ht="33.6" customHeight="1" x14ac:dyDescent="0.3"/>
    <row r="411" ht="33.6" customHeight="1" x14ac:dyDescent="0.3"/>
    <row r="412" ht="33.6" customHeight="1" x14ac:dyDescent="0.3"/>
    <row r="413" ht="33.6" customHeight="1" x14ac:dyDescent="0.3"/>
    <row r="414" ht="33.6" customHeight="1" x14ac:dyDescent="0.3"/>
    <row r="415" ht="33.6" customHeight="1" x14ac:dyDescent="0.3"/>
    <row r="416" ht="33.6" customHeight="1" x14ac:dyDescent="0.3"/>
    <row r="417" ht="33.6" customHeight="1" x14ac:dyDescent="0.3"/>
    <row r="418" ht="33.6" customHeight="1" x14ac:dyDescent="0.3"/>
    <row r="419" ht="33.6" customHeight="1" x14ac:dyDescent="0.3"/>
    <row r="420" ht="33.6" customHeight="1" x14ac:dyDescent="0.3"/>
    <row r="421" ht="33.6" customHeight="1" x14ac:dyDescent="0.3"/>
    <row r="422" ht="33.6" customHeight="1" x14ac:dyDescent="0.3"/>
    <row r="423" ht="33.6" customHeight="1" x14ac:dyDescent="0.3"/>
    <row r="424" ht="33.6" customHeight="1" x14ac:dyDescent="0.3"/>
    <row r="425" ht="33.6" customHeight="1" x14ac:dyDescent="0.3"/>
    <row r="426" ht="33.6" customHeight="1" x14ac:dyDescent="0.3"/>
    <row r="427" ht="33.6" customHeight="1" x14ac:dyDescent="0.3"/>
    <row r="428" ht="33.6" customHeight="1" x14ac:dyDescent="0.3"/>
    <row r="429" ht="33.6" customHeight="1" x14ac:dyDescent="0.3"/>
    <row r="430" ht="33.6" customHeight="1" x14ac:dyDescent="0.3"/>
    <row r="431" ht="33.6" customHeight="1" x14ac:dyDescent="0.3"/>
    <row r="432" ht="33.6" customHeight="1" x14ac:dyDescent="0.3"/>
    <row r="433" ht="33.6" customHeight="1" x14ac:dyDescent="0.3"/>
    <row r="434" ht="33.6" customHeight="1" x14ac:dyDescent="0.3"/>
    <row r="435" ht="33.6" customHeight="1" x14ac:dyDescent="0.3"/>
    <row r="436" ht="33.6" customHeight="1" x14ac:dyDescent="0.3"/>
    <row r="437" ht="33.6" customHeight="1" x14ac:dyDescent="0.3"/>
    <row r="438" ht="33.6" customHeight="1" x14ac:dyDescent="0.3"/>
    <row r="439" ht="33.6" customHeight="1" x14ac:dyDescent="0.3"/>
    <row r="440" ht="33.6" customHeight="1" x14ac:dyDescent="0.3"/>
    <row r="441" ht="33.6" customHeight="1" x14ac:dyDescent="0.3"/>
    <row r="442" ht="33.6" customHeight="1" x14ac:dyDescent="0.3"/>
    <row r="443" ht="33.6" customHeight="1" x14ac:dyDescent="0.3"/>
    <row r="444" ht="33.6" customHeight="1" x14ac:dyDescent="0.3"/>
    <row r="445" ht="33.6" customHeight="1" x14ac:dyDescent="0.3"/>
    <row r="446" ht="33.6" customHeight="1" x14ac:dyDescent="0.3"/>
    <row r="447" ht="33.6" customHeight="1" x14ac:dyDescent="0.3"/>
    <row r="448" ht="33.6" customHeight="1" x14ac:dyDescent="0.3"/>
    <row r="449" ht="33.6" customHeight="1" x14ac:dyDescent="0.3"/>
    <row r="450" ht="33.6" customHeight="1" x14ac:dyDescent="0.3"/>
    <row r="451" ht="33.6" customHeight="1" x14ac:dyDescent="0.3"/>
    <row r="452" ht="33.6" customHeight="1" x14ac:dyDescent="0.3"/>
    <row r="453" ht="33.6" customHeight="1" x14ac:dyDescent="0.3"/>
    <row r="454" ht="33.6" customHeight="1" x14ac:dyDescent="0.3"/>
    <row r="455" ht="33.6" customHeight="1" x14ac:dyDescent="0.3"/>
    <row r="456" ht="33.6" customHeight="1" x14ac:dyDescent="0.3"/>
    <row r="457" ht="33.6" customHeight="1" x14ac:dyDescent="0.3"/>
    <row r="458" ht="33.6" customHeight="1" x14ac:dyDescent="0.3"/>
    <row r="459" ht="33.6" customHeight="1" x14ac:dyDescent="0.3"/>
    <row r="460" ht="33.6" customHeight="1" x14ac:dyDescent="0.3"/>
    <row r="461" ht="33.6" customHeight="1" x14ac:dyDescent="0.3"/>
    <row r="462" ht="33.6" customHeight="1" x14ac:dyDescent="0.3"/>
    <row r="463" ht="33.6" customHeight="1" x14ac:dyDescent="0.3"/>
    <row r="464" ht="33.6" customHeight="1" x14ac:dyDescent="0.3"/>
    <row r="465" ht="33.6" customHeight="1" x14ac:dyDescent="0.3"/>
    <row r="466" ht="33.6" customHeight="1" x14ac:dyDescent="0.3"/>
    <row r="467" ht="33.6" customHeight="1" x14ac:dyDescent="0.3"/>
    <row r="468" ht="33.6" customHeight="1" x14ac:dyDescent="0.3"/>
    <row r="469" ht="33.6" customHeight="1" x14ac:dyDescent="0.3"/>
    <row r="470" ht="33.6" customHeight="1" x14ac:dyDescent="0.3"/>
    <row r="471" ht="33.6" customHeight="1" x14ac:dyDescent="0.3"/>
    <row r="472" ht="33.6" customHeight="1" x14ac:dyDescent="0.3"/>
    <row r="473" ht="33.6" customHeight="1" x14ac:dyDescent="0.3"/>
    <row r="474" ht="33.6" customHeight="1" x14ac:dyDescent="0.3"/>
    <row r="475" ht="33.6" customHeight="1" x14ac:dyDescent="0.3"/>
    <row r="476" ht="33.6" customHeight="1" x14ac:dyDescent="0.3"/>
    <row r="477" ht="33.6" customHeight="1" x14ac:dyDescent="0.3"/>
    <row r="478" ht="33.6" customHeight="1" x14ac:dyDescent="0.3"/>
    <row r="479" ht="33.6" customHeight="1" x14ac:dyDescent="0.3"/>
    <row r="480" ht="33.6" customHeight="1" x14ac:dyDescent="0.3"/>
    <row r="481" ht="33.6" customHeight="1" x14ac:dyDescent="0.3"/>
    <row r="482" ht="33.6" customHeight="1" x14ac:dyDescent="0.3"/>
    <row r="483" ht="33.6" customHeight="1" x14ac:dyDescent="0.3"/>
    <row r="484" ht="33.6" customHeight="1" x14ac:dyDescent="0.3"/>
    <row r="485" ht="33.6" customHeight="1" x14ac:dyDescent="0.3"/>
    <row r="486" ht="33.6" customHeight="1" x14ac:dyDescent="0.3"/>
    <row r="487" ht="33.6" customHeight="1" x14ac:dyDescent="0.3"/>
    <row r="488" ht="33.6" customHeight="1" x14ac:dyDescent="0.3"/>
    <row r="489" ht="33.6" customHeight="1" x14ac:dyDescent="0.3"/>
    <row r="490" ht="33.6" customHeight="1" x14ac:dyDescent="0.3"/>
    <row r="491" ht="33.6" customHeight="1" x14ac:dyDescent="0.3"/>
    <row r="492" ht="33.6" customHeight="1" x14ac:dyDescent="0.3"/>
    <row r="493" ht="33.6" customHeight="1" x14ac:dyDescent="0.3"/>
    <row r="494" ht="33.6" customHeight="1" x14ac:dyDescent="0.3"/>
    <row r="495" ht="33.6" customHeight="1" x14ac:dyDescent="0.3"/>
    <row r="496" ht="33.6" customHeight="1" x14ac:dyDescent="0.3"/>
    <row r="497" ht="33.6" customHeight="1" x14ac:dyDescent="0.3"/>
    <row r="498" ht="33.6" customHeight="1" x14ac:dyDescent="0.3"/>
    <row r="499" ht="33.6" customHeight="1" x14ac:dyDescent="0.3"/>
    <row r="500" ht="33.6" customHeight="1" x14ac:dyDescent="0.3"/>
    <row r="501" ht="33.6" customHeight="1" x14ac:dyDescent="0.3"/>
    <row r="502" ht="33.6" customHeight="1" x14ac:dyDescent="0.3"/>
    <row r="503" ht="33.6" customHeight="1" x14ac:dyDescent="0.3"/>
    <row r="504" ht="33.6" customHeight="1" x14ac:dyDescent="0.3"/>
    <row r="505" ht="33.6" customHeight="1" x14ac:dyDescent="0.3"/>
    <row r="506" ht="33.6" customHeight="1" x14ac:dyDescent="0.3"/>
    <row r="507" ht="33.6" customHeight="1" x14ac:dyDescent="0.3"/>
    <row r="508" ht="33.6" customHeight="1" x14ac:dyDescent="0.3"/>
    <row r="509" ht="33.6" customHeight="1" x14ac:dyDescent="0.3"/>
    <row r="510" ht="33.6" customHeight="1" x14ac:dyDescent="0.3"/>
    <row r="511" ht="33.6" customHeight="1" x14ac:dyDescent="0.3"/>
    <row r="512" ht="33.6" customHeight="1" x14ac:dyDescent="0.3"/>
    <row r="513" ht="33.6" customHeight="1" x14ac:dyDescent="0.3"/>
    <row r="514" ht="33.6" customHeight="1" x14ac:dyDescent="0.3"/>
    <row r="515" ht="33.6" customHeight="1" x14ac:dyDescent="0.3"/>
    <row r="516" ht="33.6" customHeight="1" x14ac:dyDescent="0.3"/>
    <row r="517" ht="33.6" customHeight="1" x14ac:dyDescent="0.3"/>
    <row r="518" ht="33.6" customHeight="1" x14ac:dyDescent="0.3"/>
    <row r="519" ht="33.6" customHeight="1" x14ac:dyDescent="0.3"/>
    <row r="520" ht="33.6" customHeight="1" x14ac:dyDescent="0.3"/>
    <row r="521" ht="33.6" customHeight="1" x14ac:dyDescent="0.3"/>
    <row r="522" ht="33.6" customHeight="1" x14ac:dyDescent="0.3"/>
    <row r="523" ht="33.6" customHeight="1" x14ac:dyDescent="0.3"/>
    <row r="524" ht="33.6" customHeight="1" x14ac:dyDescent="0.3"/>
    <row r="525" ht="33.6" customHeight="1" x14ac:dyDescent="0.3"/>
    <row r="526" ht="33.6" customHeight="1" x14ac:dyDescent="0.3"/>
    <row r="527" ht="33.6" customHeight="1" x14ac:dyDescent="0.3"/>
    <row r="528" ht="33.6" customHeight="1" x14ac:dyDescent="0.3"/>
    <row r="529" ht="33.6" customHeight="1" x14ac:dyDescent="0.3"/>
    <row r="530" ht="33.6" customHeight="1" x14ac:dyDescent="0.3"/>
    <row r="531" ht="33.6" customHeight="1" x14ac:dyDescent="0.3"/>
    <row r="532" ht="33.6" customHeight="1" x14ac:dyDescent="0.3"/>
    <row r="533" ht="33.6" customHeight="1" x14ac:dyDescent="0.3"/>
    <row r="534" ht="33.6" customHeight="1" x14ac:dyDescent="0.3"/>
    <row r="535" ht="33.6" customHeight="1" x14ac:dyDescent="0.3"/>
    <row r="536" ht="33.6" customHeight="1" x14ac:dyDescent="0.3"/>
    <row r="537" ht="33.6" customHeight="1" x14ac:dyDescent="0.3"/>
    <row r="538" ht="33.6" customHeight="1" x14ac:dyDescent="0.3"/>
    <row r="539" ht="33.6" customHeight="1" x14ac:dyDescent="0.3"/>
    <row r="540" ht="33.6" customHeight="1" x14ac:dyDescent="0.3"/>
    <row r="541" ht="33.6" customHeight="1" x14ac:dyDescent="0.3"/>
    <row r="542" ht="33.6" customHeight="1" x14ac:dyDescent="0.3"/>
    <row r="543" ht="33.6" customHeight="1" x14ac:dyDescent="0.3"/>
    <row r="544" ht="33.6" customHeight="1" x14ac:dyDescent="0.3"/>
    <row r="545" ht="33.6" customHeight="1" x14ac:dyDescent="0.3"/>
    <row r="546" ht="33.6" customHeight="1" x14ac:dyDescent="0.3"/>
    <row r="547" ht="33.6" customHeight="1" x14ac:dyDescent="0.3"/>
    <row r="548" ht="33.6" customHeight="1" x14ac:dyDescent="0.3"/>
    <row r="549" ht="33.6" customHeight="1" x14ac:dyDescent="0.3"/>
    <row r="550" ht="33.6" customHeight="1" x14ac:dyDescent="0.3"/>
    <row r="551" ht="33.6" customHeight="1" x14ac:dyDescent="0.3"/>
    <row r="552" ht="33.6" customHeight="1" x14ac:dyDescent="0.3"/>
    <row r="553" ht="33.6" customHeight="1" x14ac:dyDescent="0.3"/>
    <row r="554" ht="33.6" customHeight="1" x14ac:dyDescent="0.3"/>
    <row r="555" ht="33.6" customHeight="1" x14ac:dyDescent="0.3"/>
    <row r="556" ht="33.6" customHeight="1" x14ac:dyDescent="0.3"/>
    <row r="557" ht="33.6" customHeight="1" x14ac:dyDescent="0.3"/>
    <row r="558" ht="33.6" customHeight="1" x14ac:dyDescent="0.3"/>
    <row r="559" ht="33.6" customHeight="1" x14ac:dyDescent="0.3"/>
    <row r="560" ht="33.6" customHeight="1" x14ac:dyDescent="0.3"/>
    <row r="561" ht="33.6" customHeight="1" x14ac:dyDescent="0.3"/>
    <row r="562" ht="33.6" customHeight="1" x14ac:dyDescent="0.3"/>
    <row r="563" ht="33.6" customHeight="1" x14ac:dyDescent="0.3"/>
    <row r="564" ht="33.6" customHeight="1" x14ac:dyDescent="0.3"/>
    <row r="565" ht="33.6" customHeight="1" x14ac:dyDescent="0.3"/>
    <row r="566" ht="33.6" customHeight="1" x14ac:dyDescent="0.3"/>
    <row r="567" ht="33.6" customHeight="1" x14ac:dyDescent="0.3"/>
    <row r="568" ht="33.6" customHeight="1" x14ac:dyDescent="0.3"/>
    <row r="569" ht="33.6" customHeight="1" x14ac:dyDescent="0.3"/>
    <row r="570" ht="33.6" customHeight="1" x14ac:dyDescent="0.3"/>
    <row r="571" ht="33.6" customHeight="1" x14ac:dyDescent="0.3"/>
    <row r="572" ht="33.6" customHeight="1" x14ac:dyDescent="0.3"/>
    <row r="573" ht="33.6" customHeight="1" x14ac:dyDescent="0.3"/>
    <row r="574" ht="33.6" customHeight="1" x14ac:dyDescent="0.3"/>
    <row r="575" ht="33.6" customHeight="1" x14ac:dyDescent="0.3"/>
    <row r="576" ht="33.6" customHeight="1" x14ac:dyDescent="0.3"/>
    <row r="577" ht="33.6" customHeight="1" x14ac:dyDescent="0.3"/>
    <row r="578" ht="33.6" customHeight="1" x14ac:dyDescent="0.3"/>
    <row r="579" ht="33.6" customHeight="1" x14ac:dyDescent="0.3"/>
    <row r="580" ht="33.6" customHeight="1" x14ac:dyDescent="0.3"/>
    <row r="581" ht="33.6" customHeight="1" x14ac:dyDescent="0.3"/>
    <row r="582" ht="33.6" customHeight="1" x14ac:dyDescent="0.3"/>
    <row r="583" ht="33.6" customHeight="1" x14ac:dyDescent="0.3"/>
    <row r="584" ht="33.6" customHeight="1" x14ac:dyDescent="0.3"/>
    <row r="585" ht="33.6" customHeight="1" x14ac:dyDescent="0.3"/>
    <row r="586" ht="33.6" customHeight="1" x14ac:dyDescent="0.3"/>
    <row r="587" ht="33.6" customHeight="1" x14ac:dyDescent="0.3"/>
    <row r="588" ht="33.6" customHeight="1" x14ac:dyDescent="0.3"/>
    <row r="589" ht="33.6" customHeight="1" x14ac:dyDescent="0.3"/>
    <row r="590" ht="16.8" customHeight="1" x14ac:dyDescent="0.3"/>
    <row r="591" ht="51" customHeight="1" x14ac:dyDescent="0.3"/>
  </sheetData>
  <autoFilter ref="A3:L591" xr:uid="{00000000-0009-0000-0000-000002000000}"/>
  <mergeCells count="2">
    <mergeCell ref="A2:L2"/>
    <mergeCell ref="A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91"/>
  <sheetViews>
    <sheetView zoomScale="81" zoomScaleNormal="81" workbookViewId="0">
      <selection activeCell="C597" sqref="C597"/>
    </sheetView>
  </sheetViews>
  <sheetFormatPr baseColWidth="10" defaultColWidth="8.88671875" defaultRowHeight="14.4" x14ac:dyDescent="0.3"/>
  <cols>
    <col min="1" max="1" width="12" customWidth="1"/>
    <col min="2" max="2" width="16" customWidth="1"/>
    <col min="3" max="3" width="60" customWidth="1"/>
    <col min="4" max="4" width="24" customWidth="1"/>
    <col min="5" max="5" width="55" customWidth="1"/>
    <col min="6" max="6" width="60" customWidth="1"/>
    <col min="7" max="7" width="11" customWidth="1"/>
    <col min="8" max="8" width="25" customWidth="1"/>
    <col min="9" max="9" width="10" customWidth="1"/>
    <col min="10" max="10" width="16.33203125" customWidth="1"/>
  </cols>
  <sheetData>
    <row r="1" spans="1:10" ht="17.55" customHeight="1" x14ac:dyDescent="0.3">
      <c r="A1" s="35" t="s">
        <v>446</v>
      </c>
      <c r="B1" s="34"/>
      <c r="C1" s="34"/>
      <c r="D1" s="34"/>
      <c r="E1" s="34"/>
      <c r="F1" s="34"/>
      <c r="G1" s="34"/>
      <c r="H1" s="34"/>
      <c r="I1" s="34"/>
    </row>
    <row r="2" spans="1:10" ht="28.8" customHeight="1" x14ac:dyDescent="0.3">
      <c r="A2" s="33" t="s">
        <v>447</v>
      </c>
      <c r="B2" s="34"/>
      <c r="C2" s="34"/>
      <c r="D2" s="34"/>
      <c r="E2" s="34"/>
      <c r="F2" s="34"/>
      <c r="G2" s="34"/>
      <c r="H2" s="34"/>
      <c r="I2" s="34"/>
    </row>
    <row r="3" spans="1:10" x14ac:dyDescent="0.3">
      <c r="A3" s="1" t="s">
        <v>448</v>
      </c>
      <c r="B3" s="1" t="s">
        <v>3</v>
      </c>
      <c r="C3" s="1" t="s">
        <v>4</v>
      </c>
      <c r="D3" s="1" t="s">
        <v>7</v>
      </c>
      <c r="E3" s="1" t="s">
        <v>449</v>
      </c>
      <c r="F3" s="1" t="s">
        <v>450</v>
      </c>
      <c r="G3" s="1" t="s">
        <v>451</v>
      </c>
      <c r="H3" s="1" t="s">
        <v>452</v>
      </c>
      <c r="I3" s="1" t="s">
        <v>453</v>
      </c>
      <c r="J3" s="9"/>
    </row>
    <row r="4" spans="1:10" ht="33.6" customHeight="1" x14ac:dyDescent="0.3"/>
    <row r="5" spans="1:10" ht="33.6" customHeight="1" x14ac:dyDescent="0.3"/>
    <row r="6" spans="1:10" ht="33.6" customHeight="1" x14ac:dyDescent="0.3"/>
    <row r="7" spans="1:10" ht="33.6" customHeight="1" x14ac:dyDescent="0.3"/>
    <row r="8" spans="1:10" ht="33.6" customHeight="1" x14ac:dyDescent="0.3"/>
    <row r="9" spans="1:10" ht="33.6" customHeight="1" x14ac:dyDescent="0.3"/>
    <row r="10" spans="1:10" ht="33.6" customHeight="1" x14ac:dyDescent="0.3"/>
    <row r="11" spans="1:10" ht="33.6" customHeight="1" x14ac:dyDescent="0.3"/>
    <row r="12" spans="1:10" ht="33.6" customHeight="1" x14ac:dyDescent="0.3"/>
    <row r="13" spans="1:10" ht="33.6" customHeight="1" x14ac:dyDescent="0.3"/>
    <row r="14" spans="1:10" ht="33.6" customHeight="1" x14ac:dyDescent="0.3"/>
    <row r="15" spans="1:10" ht="33.6" customHeight="1" x14ac:dyDescent="0.3"/>
    <row r="16" spans="1:10" ht="33.6" customHeight="1" x14ac:dyDescent="0.3"/>
    <row r="17" ht="33.6" customHeight="1" x14ac:dyDescent="0.3"/>
    <row r="18" ht="33.6" customHeight="1" x14ac:dyDescent="0.3"/>
    <row r="19" ht="33.6" customHeight="1" x14ac:dyDescent="0.3"/>
    <row r="20" ht="33.6" customHeight="1" x14ac:dyDescent="0.3"/>
    <row r="21" ht="33.6" customHeight="1" x14ac:dyDescent="0.3"/>
    <row r="22" ht="33.6" customHeight="1" x14ac:dyDescent="0.3"/>
    <row r="23" ht="33.6" customHeight="1" x14ac:dyDescent="0.3"/>
    <row r="24" ht="33.6" customHeight="1" x14ac:dyDescent="0.3"/>
    <row r="25" ht="33.6" customHeight="1" x14ac:dyDescent="0.3"/>
    <row r="26" ht="33.6" customHeight="1" x14ac:dyDescent="0.3"/>
    <row r="27" ht="33.6" customHeight="1" x14ac:dyDescent="0.3"/>
    <row r="28" ht="33.6" customHeight="1" x14ac:dyDescent="0.3"/>
    <row r="29" ht="33.6" customHeight="1" x14ac:dyDescent="0.3"/>
    <row r="30" ht="33.6" customHeight="1" x14ac:dyDescent="0.3"/>
    <row r="31" ht="33.6" customHeight="1" x14ac:dyDescent="0.3"/>
    <row r="32" ht="33.6" customHeight="1" x14ac:dyDescent="0.3"/>
    <row r="33" ht="33.6" customHeight="1" x14ac:dyDescent="0.3"/>
    <row r="34" ht="33.6" customHeight="1" x14ac:dyDescent="0.3"/>
    <row r="35" ht="33.6" customHeight="1" x14ac:dyDescent="0.3"/>
    <row r="36" ht="33.6" customHeight="1" x14ac:dyDescent="0.3"/>
    <row r="37" ht="33.6" customHeight="1" x14ac:dyDescent="0.3"/>
    <row r="38" ht="33.6" customHeight="1" x14ac:dyDescent="0.3"/>
    <row r="39" ht="33.6" customHeight="1" x14ac:dyDescent="0.3"/>
    <row r="40" ht="33.6" customHeight="1" x14ac:dyDescent="0.3"/>
    <row r="41" ht="33.6" customHeight="1" x14ac:dyDescent="0.3"/>
    <row r="42" ht="33.6" customHeight="1" x14ac:dyDescent="0.3"/>
    <row r="43" ht="33.6" customHeight="1" x14ac:dyDescent="0.3"/>
    <row r="44" ht="33.6" customHeight="1" x14ac:dyDescent="0.3"/>
    <row r="45" ht="33.6" customHeight="1" x14ac:dyDescent="0.3"/>
    <row r="46" ht="33.6" customHeight="1" x14ac:dyDescent="0.3"/>
    <row r="47" ht="33.6" customHeight="1" x14ac:dyDescent="0.3"/>
    <row r="48" ht="33.6" customHeight="1" x14ac:dyDescent="0.3"/>
    <row r="49" ht="33.6" customHeight="1" x14ac:dyDescent="0.3"/>
    <row r="50" ht="33.6" customHeight="1" x14ac:dyDescent="0.3"/>
    <row r="51" ht="33.6" customHeight="1" x14ac:dyDescent="0.3"/>
    <row r="52" ht="33.6" customHeight="1" x14ac:dyDescent="0.3"/>
    <row r="53" ht="33.6" customHeight="1" x14ac:dyDescent="0.3"/>
    <row r="54" ht="33.6" customHeight="1" x14ac:dyDescent="0.3"/>
    <row r="55" ht="33.6" customHeight="1" x14ac:dyDescent="0.3"/>
    <row r="56" ht="33.6" customHeight="1" x14ac:dyDescent="0.3"/>
    <row r="57" ht="33.6" customHeight="1" x14ac:dyDescent="0.3"/>
    <row r="58" ht="33.6" customHeight="1" x14ac:dyDescent="0.3"/>
    <row r="59" ht="33.6" customHeight="1" x14ac:dyDescent="0.3"/>
    <row r="60" ht="33.6" customHeight="1" x14ac:dyDescent="0.3"/>
    <row r="61" ht="33.6" customHeight="1" x14ac:dyDescent="0.3"/>
    <row r="62" ht="33.6" customHeight="1" x14ac:dyDescent="0.3"/>
    <row r="63" ht="33.6" customHeight="1" x14ac:dyDescent="0.3"/>
    <row r="64" ht="33.6" customHeight="1" x14ac:dyDescent="0.3"/>
    <row r="65" ht="33.6" customHeight="1" x14ac:dyDescent="0.3"/>
    <row r="66" ht="33.6" customHeight="1" x14ac:dyDescent="0.3"/>
    <row r="67" ht="33.6" customHeight="1" x14ac:dyDescent="0.3"/>
    <row r="68" ht="33.6" customHeight="1" x14ac:dyDescent="0.3"/>
    <row r="69" ht="33.6" customHeight="1" x14ac:dyDescent="0.3"/>
    <row r="70" ht="33.6" customHeight="1" x14ac:dyDescent="0.3"/>
    <row r="71" ht="33.6" customHeight="1" x14ac:dyDescent="0.3"/>
    <row r="72" ht="33.6" customHeight="1" x14ac:dyDescent="0.3"/>
    <row r="73" ht="33.6" customHeight="1" x14ac:dyDescent="0.3"/>
    <row r="74" ht="33.6" customHeight="1" x14ac:dyDescent="0.3"/>
    <row r="75" ht="33.6" customHeight="1" x14ac:dyDescent="0.3"/>
    <row r="76" ht="33.6" customHeight="1" x14ac:dyDescent="0.3"/>
    <row r="77" ht="33.6" customHeight="1" x14ac:dyDescent="0.3"/>
    <row r="78" ht="33.6" customHeight="1" x14ac:dyDescent="0.3"/>
    <row r="79" ht="33.6" customHeight="1" x14ac:dyDescent="0.3"/>
    <row r="80" ht="33.6" customHeight="1" x14ac:dyDescent="0.3"/>
    <row r="81" ht="33.6" customHeight="1" x14ac:dyDescent="0.3"/>
    <row r="82" ht="33.6" customHeight="1" x14ac:dyDescent="0.3"/>
    <row r="83" ht="33.6" customHeight="1" x14ac:dyDescent="0.3"/>
    <row r="84" ht="33.6" customHeight="1" x14ac:dyDescent="0.3"/>
    <row r="85" ht="33.6" customHeight="1" x14ac:dyDescent="0.3"/>
    <row r="86" ht="33.6" customHeight="1" x14ac:dyDescent="0.3"/>
    <row r="87" ht="33.6" customHeight="1" x14ac:dyDescent="0.3"/>
    <row r="88" ht="33.6" customHeight="1" x14ac:dyDescent="0.3"/>
    <row r="89" ht="33.6" customHeight="1" x14ac:dyDescent="0.3"/>
    <row r="90" ht="33.6" customHeight="1" x14ac:dyDescent="0.3"/>
    <row r="91" ht="33.6" customHeight="1" x14ac:dyDescent="0.3"/>
    <row r="92" ht="33.6" customHeight="1" x14ac:dyDescent="0.3"/>
    <row r="93" ht="33.6" customHeight="1" x14ac:dyDescent="0.3"/>
    <row r="94" ht="33.6" customHeight="1" x14ac:dyDescent="0.3"/>
    <row r="95" ht="33.6" customHeight="1" x14ac:dyDescent="0.3"/>
    <row r="96" ht="33.6" customHeight="1" x14ac:dyDescent="0.3"/>
    <row r="97" ht="33.6" customHeight="1" x14ac:dyDescent="0.3"/>
    <row r="98" ht="33.6" customHeight="1" x14ac:dyDescent="0.3"/>
    <row r="99" ht="33.6" customHeight="1" x14ac:dyDescent="0.3"/>
    <row r="100" ht="33.6" customHeight="1" x14ac:dyDescent="0.3"/>
    <row r="101" ht="33.6" customHeight="1" x14ac:dyDescent="0.3"/>
    <row r="102" ht="33.6" customHeight="1" x14ac:dyDescent="0.3"/>
    <row r="103" ht="33.6" customHeight="1" x14ac:dyDescent="0.3"/>
    <row r="104" ht="33.6" customHeight="1" x14ac:dyDescent="0.3"/>
    <row r="105" ht="33.6" customHeight="1" x14ac:dyDescent="0.3"/>
    <row r="106" ht="33.6" customHeight="1" x14ac:dyDescent="0.3"/>
    <row r="107" ht="33.6" customHeight="1" x14ac:dyDescent="0.3"/>
    <row r="108" ht="33.6" customHeight="1" x14ac:dyDescent="0.3"/>
    <row r="109" ht="33.6" customHeight="1" x14ac:dyDescent="0.3"/>
    <row r="110" ht="33.6" customHeight="1" x14ac:dyDescent="0.3"/>
    <row r="111" ht="33.6" customHeight="1" x14ac:dyDescent="0.3"/>
    <row r="112" ht="33.6" customHeight="1" x14ac:dyDescent="0.3"/>
    <row r="113" ht="33.6" customHeight="1" x14ac:dyDescent="0.3"/>
    <row r="114" ht="33.6" customHeight="1" x14ac:dyDescent="0.3"/>
    <row r="115" ht="33.6" customHeight="1" x14ac:dyDescent="0.3"/>
    <row r="116" ht="33.6" customHeight="1" x14ac:dyDescent="0.3"/>
    <row r="117" ht="33.6" customHeight="1" x14ac:dyDescent="0.3"/>
    <row r="118" ht="33.6" customHeight="1" x14ac:dyDescent="0.3"/>
    <row r="119" ht="33.6" customHeight="1" x14ac:dyDescent="0.3"/>
    <row r="120" ht="33.6" customHeight="1" x14ac:dyDescent="0.3"/>
    <row r="121" ht="33.6" customHeight="1" x14ac:dyDescent="0.3"/>
    <row r="122" ht="33.6" customHeight="1" x14ac:dyDescent="0.3"/>
    <row r="123" ht="33.6" customHeight="1" x14ac:dyDescent="0.3"/>
    <row r="124" ht="33.6" customHeight="1" x14ac:dyDescent="0.3"/>
    <row r="125" ht="33.6" customHeight="1" x14ac:dyDescent="0.3"/>
    <row r="126" ht="33.6" customHeight="1" x14ac:dyDescent="0.3"/>
    <row r="127" ht="33.6" customHeight="1" x14ac:dyDescent="0.3"/>
    <row r="128" ht="33.6" customHeight="1" x14ac:dyDescent="0.3"/>
    <row r="129" ht="33.6" customHeight="1" x14ac:dyDescent="0.3"/>
    <row r="130" ht="33.6" customHeight="1" x14ac:dyDescent="0.3"/>
    <row r="131" ht="33.6" customHeight="1" x14ac:dyDescent="0.3"/>
    <row r="132" ht="33.6" customHeight="1" x14ac:dyDescent="0.3"/>
    <row r="133" ht="33.6" customHeight="1" x14ac:dyDescent="0.3"/>
    <row r="134" ht="33.6" customHeight="1" x14ac:dyDescent="0.3"/>
    <row r="135" ht="33.6" customHeight="1" x14ac:dyDescent="0.3"/>
    <row r="136" ht="33.6" customHeight="1" x14ac:dyDescent="0.3"/>
    <row r="137" ht="33.6" customHeight="1" x14ac:dyDescent="0.3"/>
    <row r="138" ht="33.6" customHeight="1" x14ac:dyDescent="0.3"/>
    <row r="139" ht="33.6" customHeight="1" x14ac:dyDescent="0.3"/>
    <row r="140" ht="33.6" customHeight="1" x14ac:dyDescent="0.3"/>
    <row r="141" ht="33.6" customHeight="1" x14ac:dyDescent="0.3"/>
    <row r="142" ht="33.6" customHeight="1" x14ac:dyDescent="0.3"/>
    <row r="143" ht="33.6" customHeight="1" x14ac:dyDescent="0.3"/>
    <row r="144" ht="33.6" customHeight="1" x14ac:dyDescent="0.3"/>
    <row r="145" ht="33.6" customHeight="1" x14ac:dyDescent="0.3"/>
    <row r="146" ht="33.6" customHeight="1" x14ac:dyDescent="0.3"/>
    <row r="147" ht="33.6" customHeight="1" x14ac:dyDescent="0.3"/>
    <row r="148" ht="33.6" customHeight="1" x14ac:dyDescent="0.3"/>
    <row r="149" ht="33.6" customHeight="1" x14ac:dyDescent="0.3"/>
    <row r="150" ht="33.6" customHeight="1" x14ac:dyDescent="0.3"/>
    <row r="151" ht="33.6" customHeight="1" x14ac:dyDescent="0.3"/>
    <row r="152" ht="33.6" customHeight="1" x14ac:dyDescent="0.3"/>
    <row r="153" ht="33.6" customHeight="1" x14ac:dyDescent="0.3"/>
    <row r="154" ht="33.6" customHeight="1" x14ac:dyDescent="0.3"/>
    <row r="155" ht="33.6" customHeight="1" x14ac:dyDescent="0.3"/>
    <row r="156" ht="33.6" customHeight="1" x14ac:dyDescent="0.3"/>
    <row r="157" ht="33.6" customHeight="1" x14ac:dyDescent="0.3"/>
    <row r="158" ht="33.6" customHeight="1" x14ac:dyDescent="0.3"/>
    <row r="159" ht="33.6" customHeight="1" x14ac:dyDescent="0.3"/>
    <row r="160" ht="33.6" customHeight="1" x14ac:dyDescent="0.3"/>
    <row r="161" ht="33.6" customHeight="1" x14ac:dyDescent="0.3"/>
    <row r="162" ht="33.6" customHeight="1" x14ac:dyDescent="0.3"/>
    <row r="163" ht="33.6" customHeight="1" x14ac:dyDescent="0.3"/>
    <row r="164" ht="33.6" customHeight="1" x14ac:dyDescent="0.3"/>
    <row r="165" ht="33.6" customHeight="1" x14ac:dyDescent="0.3"/>
    <row r="166" ht="33.6" customHeight="1" x14ac:dyDescent="0.3"/>
    <row r="167" ht="33.6" customHeight="1" x14ac:dyDescent="0.3"/>
    <row r="168" ht="33.6" customHeight="1" x14ac:dyDescent="0.3"/>
    <row r="169" ht="33.6" customHeight="1" x14ac:dyDescent="0.3"/>
    <row r="170" ht="33.6" customHeight="1" x14ac:dyDescent="0.3"/>
    <row r="171" ht="33.6" customHeight="1" x14ac:dyDescent="0.3"/>
    <row r="172" ht="33.6" customHeight="1" x14ac:dyDescent="0.3"/>
    <row r="173" ht="33.6" customHeight="1" x14ac:dyDescent="0.3"/>
    <row r="174" ht="33.6" customHeight="1" x14ac:dyDescent="0.3"/>
    <row r="175" ht="33.6" customHeight="1" x14ac:dyDescent="0.3"/>
    <row r="176" ht="33.6" customHeight="1" x14ac:dyDescent="0.3"/>
    <row r="177" ht="33.6" customHeight="1" x14ac:dyDescent="0.3"/>
    <row r="178" ht="33.6" customHeight="1" x14ac:dyDescent="0.3"/>
    <row r="179" ht="33.6" customHeight="1" x14ac:dyDescent="0.3"/>
    <row r="180" ht="33.6" customHeight="1" x14ac:dyDescent="0.3"/>
    <row r="181" ht="33.6" customHeight="1" x14ac:dyDescent="0.3"/>
    <row r="182" ht="33.6" customHeight="1" x14ac:dyDescent="0.3"/>
    <row r="183" ht="33.6" customHeight="1" x14ac:dyDescent="0.3"/>
    <row r="184" ht="33.6" customHeight="1" x14ac:dyDescent="0.3"/>
    <row r="185" ht="33.6" customHeight="1" x14ac:dyDescent="0.3"/>
    <row r="186" ht="33.6" customHeight="1" x14ac:dyDescent="0.3"/>
    <row r="187" ht="33.6" customHeight="1" x14ac:dyDescent="0.3"/>
    <row r="188" ht="33.6" customHeight="1" x14ac:dyDescent="0.3"/>
    <row r="189" ht="33.6" customHeight="1" x14ac:dyDescent="0.3"/>
    <row r="190" ht="33.6" customHeight="1" x14ac:dyDescent="0.3"/>
    <row r="191" ht="33.6" customHeight="1" x14ac:dyDescent="0.3"/>
    <row r="192" ht="33.6" customHeight="1" x14ac:dyDescent="0.3"/>
    <row r="193" ht="33.6" customHeight="1" x14ac:dyDescent="0.3"/>
    <row r="194" ht="33.6" customHeight="1" x14ac:dyDescent="0.3"/>
    <row r="195" ht="33.6" customHeight="1" x14ac:dyDescent="0.3"/>
    <row r="196" ht="33.6" customHeight="1" x14ac:dyDescent="0.3"/>
    <row r="197" ht="33.6" customHeight="1" x14ac:dyDescent="0.3"/>
    <row r="198" ht="33.6" customHeight="1" x14ac:dyDescent="0.3"/>
    <row r="199" ht="33.6" customHeight="1" x14ac:dyDescent="0.3"/>
    <row r="200" ht="33.6" customHeight="1" x14ac:dyDescent="0.3"/>
    <row r="201" ht="33.6" customHeight="1" x14ac:dyDescent="0.3"/>
    <row r="202" ht="33.6" customHeight="1" x14ac:dyDescent="0.3"/>
    <row r="203" ht="33.6" customHeight="1" x14ac:dyDescent="0.3"/>
    <row r="204" ht="33.6" customHeight="1" x14ac:dyDescent="0.3"/>
    <row r="205" ht="33.6" customHeight="1" x14ac:dyDescent="0.3"/>
    <row r="206" ht="33.6" customHeight="1" x14ac:dyDescent="0.3"/>
    <row r="207" ht="33.6" customHeight="1" x14ac:dyDescent="0.3"/>
    <row r="208" ht="33.6" customHeight="1" x14ac:dyDescent="0.3"/>
    <row r="209" ht="33.6" customHeight="1" x14ac:dyDescent="0.3"/>
    <row r="210" ht="33.6" customHeight="1" x14ac:dyDescent="0.3"/>
    <row r="211" ht="33.6" customHeight="1" x14ac:dyDescent="0.3"/>
    <row r="212" ht="33.6" customHeight="1" x14ac:dyDescent="0.3"/>
    <row r="213" ht="33.6" customHeight="1" x14ac:dyDescent="0.3"/>
    <row r="214" ht="33.6" customHeight="1" x14ac:dyDescent="0.3"/>
    <row r="215" ht="33.6" customHeight="1" x14ac:dyDescent="0.3"/>
    <row r="216" ht="33.6" customHeight="1" x14ac:dyDescent="0.3"/>
    <row r="217" ht="33.6" customHeight="1" x14ac:dyDescent="0.3"/>
    <row r="218" ht="33.6" customHeight="1" x14ac:dyDescent="0.3"/>
    <row r="219" ht="33.6" customHeight="1" x14ac:dyDescent="0.3"/>
    <row r="220" ht="33.6" customHeight="1" x14ac:dyDescent="0.3"/>
    <row r="221" ht="33.6" customHeight="1" x14ac:dyDescent="0.3"/>
    <row r="222" ht="33.6" customHeight="1" x14ac:dyDescent="0.3"/>
    <row r="223" ht="33.6" customHeight="1" x14ac:dyDescent="0.3"/>
    <row r="224" ht="33.6" customHeight="1" x14ac:dyDescent="0.3"/>
    <row r="225" ht="33.6" customHeight="1" x14ac:dyDescent="0.3"/>
    <row r="226" ht="33.6" customHeight="1" x14ac:dyDescent="0.3"/>
    <row r="227" ht="33.6" customHeight="1" x14ac:dyDescent="0.3"/>
    <row r="228" ht="33.6" customHeight="1" x14ac:dyDescent="0.3"/>
    <row r="229" ht="33.6" customHeight="1" x14ac:dyDescent="0.3"/>
    <row r="230" ht="33.6" customHeight="1" x14ac:dyDescent="0.3"/>
    <row r="231" ht="33.6" customHeight="1" x14ac:dyDescent="0.3"/>
    <row r="232" ht="33.6" customHeight="1" x14ac:dyDescent="0.3"/>
    <row r="233" ht="33.6" customHeight="1" x14ac:dyDescent="0.3"/>
    <row r="234" ht="33.6" customHeight="1" x14ac:dyDescent="0.3"/>
    <row r="235" ht="33.6" customHeight="1" x14ac:dyDescent="0.3"/>
    <row r="236" ht="33.6" customHeight="1" x14ac:dyDescent="0.3"/>
    <row r="237" ht="33.6" customHeight="1" x14ac:dyDescent="0.3"/>
    <row r="238" ht="33.6" customHeight="1" x14ac:dyDescent="0.3"/>
    <row r="239" ht="33.6" customHeight="1" x14ac:dyDescent="0.3"/>
    <row r="240" ht="33.6" customHeight="1" x14ac:dyDescent="0.3"/>
    <row r="241" ht="33.6" customHeight="1" x14ac:dyDescent="0.3"/>
    <row r="242" ht="33.6" customHeight="1" x14ac:dyDescent="0.3"/>
    <row r="243" ht="33.6" customHeight="1" x14ac:dyDescent="0.3"/>
    <row r="244" ht="33.6" customHeight="1" x14ac:dyDescent="0.3"/>
    <row r="245" ht="33.6" customHeight="1" x14ac:dyDescent="0.3"/>
    <row r="246" ht="33.6" customHeight="1" x14ac:dyDescent="0.3"/>
    <row r="247" ht="33.6" customHeight="1" x14ac:dyDescent="0.3"/>
    <row r="248" ht="33.6" customHeight="1" x14ac:dyDescent="0.3"/>
    <row r="249" ht="33.6" customHeight="1" x14ac:dyDescent="0.3"/>
    <row r="250" ht="33.6" customHeight="1" x14ac:dyDescent="0.3"/>
    <row r="251" ht="33.6" customHeight="1" x14ac:dyDescent="0.3"/>
    <row r="252" ht="33.6" customHeight="1" x14ac:dyDescent="0.3"/>
    <row r="253" ht="33.6" customHeight="1" x14ac:dyDescent="0.3"/>
    <row r="254" ht="33.6" customHeight="1" x14ac:dyDescent="0.3"/>
    <row r="255" ht="33.6" customHeight="1" x14ac:dyDescent="0.3"/>
    <row r="256" ht="33.6" customHeight="1" x14ac:dyDescent="0.3"/>
    <row r="257" ht="33.6" customHeight="1" x14ac:dyDescent="0.3"/>
    <row r="258" ht="33.6" customHeight="1" x14ac:dyDescent="0.3"/>
    <row r="259" ht="33.6" customHeight="1" x14ac:dyDescent="0.3"/>
    <row r="260" ht="33.6" customHeight="1" x14ac:dyDescent="0.3"/>
    <row r="261" ht="33.6" customHeight="1" x14ac:dyDescent="0.3"/>
    <row r="262" ht="33.6" customHeight="1" x14ac:dyDescent="0.3"/>
    <row r="263" ht="33.6" customHeight="1" x14ac:dyDescent="0.3"/>
    <row r="264" ht="33.6" customHeight="1" x14ac:dyDescent="0.3"/>
    <row r="265" ht="33.6" customHeight="1" x14ac:dyDescent="0.3"/>
    <row r="266" ht="33.6" customHeight="1" x14ac:dyDescent="0.3"/>
    <row r="267" ht="33.6" customHeight="1" x14ac:dyDescent="0.3"/>
    <row r="268" ht="33.6" customHeight="1" x14ac:dyDescent="0.3"/>
    <row r="269" ht="33.6" customHeight="1" x14ac:dyDescent="0.3"/>
    <row r="270" ht="33.6" customHeight="1" x14ac:dyDescent="0.3"/>
    <row r="271" ht="33.6" customHeight="1" x14ac:dyDescent="0.3"/>
    <row r="272" ht="33.6" customHeight="1" x14ac:dyDescent="0.3"/>
    <row r="273" ht="33.6" customHeight="1" x14ac:dyDescent="0.3"/>
    <row r="274" ht="33.6" customHeight="1" x14ac:dyDescent="0.3"/>
    <row r="275" ht="33.6" customHeight="1" x14ac:dyDescent="0.3"/>
    <row r="276" ht="33.6" customHeight="1" x14ac:dyDescent="0.3"/>
    <row r="277" ht="33.6" customHeight="1" x14ac:dyDescent="0.3"/>
    <row r="278" ht="33.6" customHeight="1" x14ac:dyDescent="0.3"/>
    <row r="279" ht="33.6" customHeight="1" x14ac:dyDescent="0.3"/>
    <row r="280" ht="33.6" customHeight="1" x14ac:dyDescent="0.3"/>
    <row r="281" ht="33.6" customHeight="1" x14ac:dyDescent="0.3"/>
    <row r="282" ht="33.6" customHeight="1" x14ac:dyDescent="0.3"/>
    <row r="283" ht="33.6" customHeight="1" x14ac:dyDescent="0.3"/>
    <row r="284" ht="33.6" customHeight="1" x14ac:dyDescent="0.3"/>
    <row r="285" ht="33.6" customHeight="1" x14ac:dyDescent="0.3"/>
    <row r="286" ht="33.6" customHeight="1" x14ac:dyDescent="0.3"/>
    <row r="287" ht="33.6" customHeight="1" x14ac:dyDescent="0.3"/>
    <row r="288" ht="33.6" customHeight="1" x14ac:dyDescent="0.3"/>
    <row r="289" ht="33.6" customHeight="1" x14ac:dyDescent="0.3"/>
    <row r="290" ht="33.6" customHeight="1" x14ac:dyDescent="0.3"/>
    <row r="291" ht="33.6" customHeight="1" x14ac:dyDescent="0.3"/>
    <row r="292" ht="33.6" customHeight="1" x14ac:dyDescent="0.3"/>
    <row r="293" ht="33.6" customHeight="1" x14ac:dyDescent="0.3"/>
    <row r="294" ht="33.6" customHeight="1" x14ac:dyDescent="0.3"/>
    <row r="295" ht="33.6" customHeight="1" x14ac:dyDescent="0.3"/>
    <row r="296" ht="33.6" customHeight="1" x14ac:dyDescent="0.3"/>
    <row r="297" ht="33.6" customHeight="1" x14ac:dyDescent="0.3"/>
    <row r="298" ht="33.6" customHeight="1" x14ac:dyDescent="0.3"/>
    <row r="299" ht="33.6" customHeight="1" x14ac:dyDescent="0.3"/>
    <row r="300" ht="33.6" customHeight="1" x14ac:dyDescent="0.3"/>
    <row r="301" ht="33.6" customHeight="1" x14ac:dyDescent="0.3"/>
    <row r="302" ht="33.6" customHeight="1" x14ac:dyDescent="0.3"/>
    <row r="303" ht="33.6" customHeight="1" x14ac:dyDescent="0.3"/>
    <row r="304" ht="33.6" customHeight="1" x14ac:dyDescent="0.3"/>
    <row r="305" ht="33.6" customHeight="1" x14ac:dyDescent="0.3"/>
    <row r="306" ht="33.6" customHeight="1" x14ac:dyDescent="0.3"/>
    <row r="307" ht="33.6" customHeight="1" x14ac:dyDescent="0.3"/>
    <row r="308" ht="33.6" customHeight="1" x14ac:dyDescent="0.3"/>
    <row r="309" ht="33.6" customHeight="1" x14ac:dyDescent="0.3"/>
    <row r="310" ht="33.6" customHeight="1" x14ac:dyDescent="0.3"/>
    <row r="311" ht="33.6" customHeight="1" x14ac:dyDescent="0.3"/>
    <row r="312" ht="33.6" customHeight="1" x14ac:dyDescent="0.3"/>
    <row r="313" ht="33.6" customHeight="1" x14ac:dyDescent="0.3"/>
    <row r="314" ht="33.6" customHeight="1" x14ac:dyDescent="0.3"/>
    <row r="315" ht="33.6" customHeight="1" x14ac:dyDescent="0.3"/>
    <row r="316" ht="33.6" customHeight="1" x14ac:dyDescent="0.3"/>
    <row r="317" ht="33.6" customHeight="1" x14ac:dyDescent="0.3"/>
    <row r="318" ht="33.6" customHeight="1" x14ac:dyDescent="0.3"/>
    <row r="319" ht="33.6" customHeight="1" x14ac:dyDescent="0.3"/>
    <row r="320" ht="33.6" customHeight="1" x14ac:dyDescent="0.3"/>
    <row r="321" ht="33.6" customHeight="1" x14ac:dyDescent="0.3"/>
    <row r="322" ht="33.6" customHeight="1" x14ac:dyDescent="0.3"/>
    <row r="323" ht="33.6" customHeight="1" x14ac:dyDescent="0.3"/>
    <row r="324" ht="33.6" customHeight="1" x14ac:dyDescent="0.3"/>
    <row r="325" ht="33.6" customHeight="1" x14ac:dyDescent="0.3"/>
    <row r="326" ht="33.6" customHeight="1" x14ac:dyDescent="0.3"/>
    <row r="327" ht="33.6" customHeight="1" x14ac:dyDescent="0.3"/>
    <row r="328" ht="33.6" customHeight="1" x14ac:dyDescent="0.3"/>
    <row r="329" ht="33.6" customHeight="1" x14ac:dyDescent="0.3"/>
    <row r="330" ht="33.6" customHeight="1" x14ac:dyDescent="0.3"/>
    <row r="331" ht="33.6" customHeight="1" x14ac:dyDescent="0.3"/>
    <row r="332" ht="33.6" customHeight="1" x14ac:dyDescent="0.3"/>
    <row r="333" ht="33.6" customHeight="1" x14ac:dyDescent="0.3"/>
    <row r="334" ht="33.6" customHeight="1" x14ac:dyDescent="0.3"/>
    <row r="335" ht="33.6" customHeight="1" x14ac:dyDescent="0.3"/>
    <row r="336" ht="33.6" customHeight="1" x14ac:dyDescent="0.3"/>
    <row r="337" ht="33.6" customHeight="1" x14ac:dyDescent="0.3"/>
    <row r="338" ht="33.6" customHeight="1" x14ac:dyDescent="0.3"/>
    <row r="339" ht="33.6" customHeight="1" x14ac:dyDescent="0.3"/>
    <row r="340" ht="33.6" customHeight="1" x14ac:dyDescent="0.3"/>
    <row r="341" ht="33.6" customHeight="1" x14ac:dyDescent="0.3"/>
    <row r="342" ht="33.6" customHeight="1" x14ac:dyDescent="0.3"/>
    <row r="343" ht="33.6" customHeight="1" x14ac:dyDescent="0.3"/>
    <row r="344" ht="33.6" customHeight="1" x14ac:dyDescent="0.3"/>
    <row r="345" ht="33.6" customHeight="1" x14ac:dyDescent="0.3"/>
    <row r="346" ht="33.6" customHeight="1" x14ac:dyDescent="0.3"/>
    <row r="347" ht="33.6" customHeight="1" x14ac:dyDescent="0.3"/>
    <row r="348" ht="33.6" customHeight="1" x14ac:dyDescent="0.3"/>
    <row r="349" ht="33.6" customHeight="1" x14ac:dyDescent="0.3"/>
    <row r="350" ht="33.6" customHeight="1" x14ac:dyDescent="0.3"/>
    <row r="351" ht="33.6" customHeight="1" x14ac:dyDescent="0.3"/>
    <row r="352" ht="33.6" customHeight="1" x14ac:dyDescent="0.3"/>
    <row r="353" ht="33.6" customHeight="1" x14ac:dyDescent="0.3"/>
    <row r="354" ht="33.6" customHeight="1" x14ac:dyDescent="0.3"/>
    <row r="355" ht="33.6" customHeight="1" x14ac:dyDescent="0.3"/>
    <row r="356" ht="33.6" customHeight="1" x14ac:dyDescent="0.3"/>
    <row r="357" ht="33.6" customHeight="1" x14ac:dyDescent="0.3"/>
    <row r="358" ht="33.6" customHeight="1" x14ac:dyDescent="0.3"/>
    <row r="359" ht="33.6" customHeight="1" x14ac:dyDescent="0.3"/>
    <row r="360" ht="33.6" customHeight="1" x14ac:dyDescent="0.3"/>
    <row r="361" ht="33.6" customHeight="1" x14ac:dyDescent="0.3"/>
    <row r="362" ht="33.6" customHeight="1" x14ac:dyDescent="0.3"/>
    <row r="363" ht="33.6" customHeight="1" x14ac:dyDescent="0.3"/>
    <row r="364" ht="33.6" customHeight="1" x14ac:dyDescent="0.3"/>
    <row r="365" ht="33.6" customHeight="1" x14ac:dyDescent="0.3"/>
    <row r="366" ht="33.6" customHeight="1" x14ac:dyDescent="0.3"/>
    <row r="367" ht="33.6" customHeight="1" x14ac:dyDescent="0.3"/>
    <row r="368" ht="33.6" customHeight="1" x14ac:dyDescent="0.3"/>
    <row r="369" ht="33.6" customHeight="1" x14ac:dyDescent="0.3"/>
    <row r="370" ht="33.6" customHeight="1" x14ac:dyDescent="0.3"/>
    <row r="371" ht="33.6" customHeight="1" x14ac:dyDescent="0.3"/>
    <row r="372" ht="33.6" customHeight="1" x14ac:dyDescent="0.3"/>
    <row r="373" ht="33.6" customHeight="1" x14ac:dyDescent="0.3"/>
    <row r="374" ht="33.6" customHeight="1" x14ac:dyDescent="0.3"/>
    <row r="375" ht="33.6" customHeight="1" x14ac:dyDescent="0.3"/>
    <row r="376" ht="33.6" customHeight="1" x14ac:dyDescent="0.3"/>
    <row r="377" ht="33.6" customHeight="1" x14ac:dyDescent="0.3"/>
    <row r="378" ht="33.6" customHeight="1" x14ac:dyDescent="0.3"/>
    <row r="379" ht="33.6" customHeight="1" x14ac:dyDescent="0.3"/>
    <row r="380" ht="33.6" customHeight="1" x14ac:dyDescent="0.3"/>
    <row r="381" ht="33.6" customHeight="1" x14ac:dyDescent="0.3"/>
    <row r="382" ht="33.6" customHeight="1" x14ac:dyDescent="0.3"/>
    <row r="383" ht="33.6" customHeight="1" x14ac:dyDescent="0.3"/>
    <row r="384" ht="33.6" customHeight="1" x14ac:dyDescent="0.3"/>
    <row r="385" ht="33.6" customHeight="1" x14ac:dyDescent="0.3"/>
    <row r="386" ht="33.6" customHeight="1" x14ac:dyDescent="0.3"/>
    <row r="387" ht="33.6" customHeight="1" x14ac:dyDescent="0.3"/>
    <row r="388" ht="33.6" customHeight="1" x14ac:dyDescent="0.3"/>
    <row r="389" ht="33.6" customHeight="1" x14ac:dyDescent="0.3"/>
    <row r="390" ht="33.6" customHeight="1" x14ac:dyDescent="0.3"/>
    <row r="391" ht="33.6" customHeight="1" x14ac:dyDescent="0.3"/>
    <row r="392" ht="33.6" customHeight="1" x14ac:dyDescent="0.3"/>
    <row r="393" ht="33.6" customHeight="1" x14ac:dyDescent="0.3"/>
    <row r="394" ht="33.6" customHeight="1" x14ac:dyDescent="0.3"/>
    <row r="395" ht="33.6" customHeight="1" x14ac:dyDescent="0.3"/>
    <row r="396" ht="33.6" customHeight="1" x14ac:dyDescent="0.3"/>
    <row r="397" ht="33.6" customHeight="1" x14ac:dyDescent="0.3"/>
    <row r="398" ht="33.6" customHeight="1" x14ac:dyDescent="0.3"/>
    <row r="399" ht="33.6" customHeight="1" x14ac:dyDescent="0.3"/>
    <row r="400" ht="33.6" customHeight="1" x14ac:dyDescent="0.3"/>
    <row r="401" ht="33.6" customHeight="1" x14ac:dyDescent="0.3"/>
    <row r="402" ht="33.6" customHeight="1" x14ac:dyDescent="0.3"/>
    <row r="403" ht="33.6" customHeight="1" x14ac:dyDescent="0.3"/>
    <row r="404" ht="33.6" customHeight="1" x14ac:dyDescent="0.3"/>
    <row r="405" ht="33.6" customHeight="1" x14ac:dyDescent="0.3"/>
    <row r="406" ht="33.6" customHeight="1" x14ac:dyDescent="0.3"/>
    <row r="407" ht="33.6" customHeight="1" x14ac:dyDescent="0.3"/>
    <row r="408" ht="33.6" customHeight="1" x14ac:dyDescent="0.3"/>
    <row r="409" ht="33.6" customHeight="1" x14ac:dyDescent="0.3"/>
    <row r="410" ht="33.6" customHeight="1" x14ac:dyDescent="0.3"/>
    <row r="411" ht="33.6" customHeight="1" x14ac:dyDescent="0.3"/>
    <row r="412" ht="33.6" customHeight="1" x14ac:dyDescent="0.3"/>
    <row r="413" ht="33.6" customHeight="1" x14ac:dyDescent="0.3"/>
    <row r="414" ht="33.6" customHeight="1" x14ac:dyDescent="0.3"/>
    <row r="415" ht="33.6" customHeight="1" x14ac:dyDescent="0.3"/>
    <row r="416" ht="33.6" customHeight="1" x14ac:dyDescent="0.3"/>
    <row r="417" ht="33.6" customHeight="1" x14ac:dyDescent="0.3"/>
    <row r="418" ht="33.6" customHeight="1" x14ac:dyDescent="0.3"/>
    <row r="419" ht="33.6" customHeight="1" x14ac:dyDescent="0.3"/>
    <row r="420" ht="33.6" customHeight="1" x14ac:dyDescent="0.3"/>
    <row r="421" ht="33.6" customHeight="1" x14ac:dyDescent="0.3"/>
    <row r="422" ht="33.6" customHeight="1" x14ac:dyDescent="0.3"/>
    <row r="423" ht="33.6" customHeight="1" x14ac:dyDescent="0.3"/>
    <row r="424" ht="33.6" customHeight="1" x14ac:dyDescent="0.3"/>
    <row r="425" ht="33.6" customHeight="1" x14ac:dyDescent="0.3"/>
    <row r="426" ht="33.6" customHeight="1" x14ac:dyDescent="0.3"/>
    <row r="427" ht="33.6" customHeight="1" x14ac:dyDescent="0.3"/>
    <row r="428" ht="33.6" customHeight="1" x14ac:dyDescent="0.3"/>
    <row r="429" ht="33.6" customHeight="1" x14ac:dyDescent="0.3"/>
    <row r="430" ht="33.6" customHeight="1" x14ac:dyDescent="0.3"/>
    <row r="431" ht="33.6" customHeight="1" x14ac:dyDescent="0.3"/>
    <row r="432" ht="33.6" customHeight="1" x14ac:dyDescent="0.3"/>
    <row r="433" ht="33.6" customHeight="1" x14ac:dyDescent="0.3"/>
    <row r="434" ht="33.6" customHeight="1" x14ac:dyDescent="0.3"/>
    <row r="435" ht="33.6" customHeight="1" x14ac:dyDescent="0.3"/>
    <row r="436" ht="33.6" customHeight="1" x14ac:dyDescent="0.3"/>
    <row r="437" ht="33.6" customHeight="1" x14ac:dyDescent="0.3"/>
    <row r="438" ht="33.6" customHeight="1" x14ac:dyDescent="0.3"/>
    <row r="439" ht="33.6" customHeight="1" x14ac:dyDescent="0.3"/>
    <row r="440" ht="33.6" customHeight="1" x14ac:dyDescent="0.3"/>
    <row r="441" ht="33.6" customHeight="1" x14ac:dyDescent="0.3"/>
    <row r="442" ht="33.6" customHeight="1" x14ac:dyDescent="0.3"/>
    <row r="443" ht="33.6" customHeight="1" x14ac:dyDescent="0.3"/>
    <row r="444" ht="33.6" customHeight="1" x14ac:dyDescent="0.3"/>
    <row r="445" ht="33.6" customHeight="1" x14ac:dyDescent="0.3"/>
    <row r="446" ht="33.6" customHeight="1" x14ac:dyDescent="0.3"/>
    <row r="447" ht="33.6" customHeight="1" x14ac:dyDescent="0.3"/>
    <row r="448" ht="33.6" customHeight="1" x14ac:dyDescent="0.3"/>
    <row r="449" ht="33.6" customHeight="1" x14ac:dyDescent="0.3"/>
    <row r="450" ht="33.6" customHeight="1" x14ac:dyDescent="0.3"/>
    <row r="451" ht="33.6" customHeight="1" x14ac:dyDescent="0.3"/>
    <row r="452" ht="33.6" customHeight="1" x14ac:dyDescent="0.3"/>
    <row r="453" ht="33.6" customHeight="1" x14ac:dyDescent="0.3"/>
    <row r="454" ht="33.6" customHeight="1" x14ac:dyDescent="0.3"/>
    <row r="455" ht="33.6" customHeight="1" x14ac:dyDescent="0.3"/>
    <row r="456" ht="33.6" customHeight="1" x14ac:dyDescent="0.3"/>
    <row r="457" ht="33.6" customHeight="1" x14ac:dyDescent="0.3"/>
    <row r="458" ht="33.6" customHeight="1" x14ac:dyDescent="0.3"/>
    <row r="459" ht="33.6" customHeight="1" x14ac:dyDescent="0.3"/>
    <row r="460" ht="33.6" customHeight="1" x14ac:dyDescent="0.3"/>
    <row r="461" ht="33.6" customHeight="1" x14ac:dyDescent="0.3"/>
    <row r="462" ht="33.6" customHeight="1" x14ac:dyDescent="0.3"/>
    <row r="463" ht="33.6" customHeight="1" x14ac:dyDescent="0.3"/>
    <row r="464" ht="33.6" customHeight="1" x14ac:dyDescent="0.3"/>
    <row r="465" ht="33.6" customHeight="1" x14ac:dyDescent="0.3"/>
    <row r="466" ht="33.6" customHeight="1" x14ac:dyDescent="0.3"/>
    <row r="467" ht="33.6" customHeight="1" x14ac:dyDescent="0.3"/>
    <row r="468" ht="33.6" customHeight="1" x14ac:dyDescent="0.3"/>
    <row r="469" ht="33.6" customHeight="1" x14ac:dyDescent="0.3"/>
    <row r="470" ht="33.6" customHeight="1" x14ac:dyDescent="0.3"/>
    <row r="471" ht="33.6" customHeight="1" x14ac:dyDescent="0.3"/>
    <row r="472" ht="33.6" customHeight="1" x14ac:dyDescent="0.3"/>
    <row r="473" ht="33.6" customHeight="1" x14ac:dyDescent="0.3"/>
    <row r="474" ht="33.6" customHeight="1" x14ac:dyDescent="0.3"/>
    <row r="475" ht="33.6" customHeight="1" x14ac:dyDescent="0.3"/>
    <row r="476" ht="33.6" customHeight="1" x14ac:dyDescent="0.3"/>
    <row r="477" ht="33.6" customHeight="1" x14ac:dyDescent="0.3"/>
    <row r="478" ht="33.6" customHeight="1" x14ac:dyDescent="0.3"/>
    <row r="479" ht="33.6" customHeight="1" x14ac:dyDescent="0.3"/>
    <row r="480" ht="33.6" customHeight="1" x14ac:dyDescent="0.3"/>
    <row r="481" ht="33.6" customHeight="1" x14ac:dyDescent="0.3"/>
    <row r="482" ht="33.6" customHeight="1" x14ac:dyDescent="0.3"/>
    <row r="483" ht="33.6" customHeight="1" x14ac:dyDescent="0.3"/>
    <row r="484" ht="33.6" customHeight="1" x14ac:dyDescent="0.3"/>
    <row r="485" ht="33.6" customHeight="1" x14ac:dyDescent="0.3"/>
    <row r="486" ht="33.6" customHeight="1" x14ac:dyDescent="0.3"/>
    <row r="487" ht="33.6" customHeight="1" x14ac:dyDescent="0.3"/>
    <row r="488" ht="33.6" customHeight="1" x14ac:dyDescent="0.3"/>
    <row r="489" ht="33.6" customHeight="1" x14ac:dyDescent="0.3"/>
    <row r="490" ht="33.6" customHeight="1" x14ac:dyDescent="0.3"/>
    <row r="491" ht="33.6" customHeight="1" x14ac:dyDescent="0.3"/>
    <row r="492" ht="33.6" customHeight="1" x14ac:dyDescent="0.3"/>
    <row r="493" ht="33.6" customHeight="1" x14ac:dyDescent="0.3"/>
    <row r="494" ht="33.6" customHeight="1" x14ac:dyDescent="0.3"/>
    <row r="495" ht="33.6" customHeight="1" x14ac:dyDescent="0.3"/>
    <row r="496" ht="33.6" customHeight="1" x14ac:dyDescent="0.3"/>
    <row r="497" ht="33.6" customHeight="1" x14ac:dyDescent="0.3"/>
    <row r="498" ht="33.6" customHeight="1" x14ac:dyDescent="0.3"/>
    <row r="499" ht="33.6" customHeight="1" x14ac:dyDescent="0.3"/>
    <row r="500" ht="33.6" customHeight="1" x14ac:dyDescent="0.3"/>
    <row r="501" ht="33.6" customHeight="1" x14ac:dyDescent="0.3"/>
    <row r="502" ht="33.6" customHeight="1" x14ac:dyDescent="0.3"/>
    <row r="503" ht="33.6" customHeight="1" x14ac:dyDescent="0.3"/>
    <row r="504" ht="33.6" customHeight="1" x14ac:dyDescent="0.3"/>
    <row r="505" ht="33.6" customHeight="1" x14ac:dyDescent="0.3"/>
    <row r="506" ht="33.6" customHeight="1" x14ac:dyDescent="0.3"/>
    <row r="507" ht="33.6" customHeight="1" x14ac:dyDescent="0.3"/>
    <row r="508" ht="33.6" customHeight="1" x14ac:dyDescent="0.3"/>
    <row r="509" ht="33.6" customHeight="1" x14ac:dyDescent="0.3"/>
    <row r="510" ht="33.6" customHeight="1" x14ac:dyDescent="0.3"/>
    <row r="511" ht="33.6" customHeight="1" x14ac:dyDescent="0.3"/>
    <row r="512" ht="33.6" customHeight="1" x14ac:dyDescent="0.3"/>
    <row r="513" ht="33.6" customHeight="1" x14ac:dyDescent="0.3"/>
    <row r="514" ht="33.6" customHeight="1" x14ac:dyDescent="0.3"/>
    <row r="515" ht="33.6" customHeight="1" x14ac:dyDescent="0.3"/>
    <row r="516" ht="33.6" customHeight="1" x14ac:dyDescent="0.3"/>
    <row r="517" ht="33.6" customHeight="1" x14ac:dyDescent="0.3"/>
    <row r="518" ht="33.6" customHeight="1" x14ac:dyDescent="0.3"/>
    <row r="519" ht="33.6" customHeight="1" x14ac:dyDescent="0.3"/>
    <row r="520" ht="33.6" customHeight="1" x14ac:dyDescent="0.3"/>
    <row r="521" ht="33.6" customHeight="1" x14ac:dyDescent="0.3"/>
    <row r="522" ht="33.6" customHeight="1" x14ac:dyDescent="0.3"/>
    <row r="523" ht="33.6" customHeight="1" x14ac:dyDescent="0.3"/>
    <row r="524" ht="33.6" customHeight="1" x14ac:dyDescent="0.3"/>
    <row r="525" ht="33.6" customHeight="1" x14ac:dyDescent="0.3"/>
    <row r="526" ht="33.6" customHeight="1" x14ac:dyDescent="0.3"/>
    <row r="527" ht="33.6" customHeight="1" x14ac:dyDescent="0.3"/>
    <row r="528" ht="33.6" customHeight="1" x14ac:dyDescent="0.3"/>
    <row r="529" ht="33.6" customHeight="1" x14ac:dyDescent="0.3"/>
    <row r="530" ht="33.6" customHeight="1" x14ac:dyDescent="0.3"/>
    <row r="531" ht="33.6" customHeight="1" x14ac:dyDescent="0.3"/>
    <row r="532" ht="33.6" customHeight="1" x14ac:dyDescent="0.3"/>
    <row r="533" ht="33.6" customHeight="1" x14ac:dyDescent="0.3"/>
    <row r="534" ht="33.6" customHeight="1" x14ac:dyDescent="0.3"/>
    <row r="535" ht="33.6" customHeight="1" x14ac:dyDescent="0.3"/>
    <row r="536" ht="33.6" customHeight="1" x14ac:dyDescent="0.3"/>
    <row r="537" ht="33.6" customHeight="1" x14ac:dyDescent="0.3"/>
    <row r="538" ht="33.6" customHeight="1" x14ac:dyDescent="0.3"/>
    <row r="539" ht="33.6" customHeight="1" x14ac:dyDescent="0.3"/>
    <row r="540" ht="33.6" customHeight="1" x14ac:dyDescent="0.3"/>
    <row r="541" ht="33.6" customHeight="1" x14ac:dyDescent="0.3"/>
    <row r="542" ht="33.6" customHeight="1" x14ac:dyDescent="0.3"/>
    <row r="543" ht="33.6" customHeight="1" x14ac:dyDescent="0.3"/>
    <row r="544" ht="33.6" customHeight="1" x14ac:dyDescent="0.3"/>
    <row r="545" ht="33.6" customHeight="1" x14ac:dyDescent="0.3"/>
    <row r="546" ht="33.6" customHeight="1" x14ac:dyDescent="0.3"/>
    <row r="547" ht="33.6" customHeight="1" x14ac:dyDescent="0.3"/>
    <row r="548" ht="33.6" customHeight="1" x14ac:dyDescent="0.3"/>
    <row r="549" ht="33.6" customHeight="1" x14ac:dyDescent="0.3"/>
    <row r="550" ht="33.6" customHeight="1" x14ac:dyDescent="0.3"/>
    <row r="551" ht="33.6" customHeight="1" x14ac:dyDescent="0.3"/>
    <row r="552" ht="33.6" customHeight="1" x14ac:dyDescent="0.3"/>
    <row r="553" ht="33.6" customHeight="1" x14ac:dyDescent="0.3"/>
    <row r="554" ht="33.6" customHeight="1" x14ac:dyDescent="0.3"/>
    <row r="555" ht="33.6" customHeight="1" x14ac:dyDescent="0.3"/>
    <row r="556" ht="33.6" customHeight="1" x14ac:dyDescent="0.3"/>
    <row r="557" ht="33.6" customHeight="1" x14ac:dyDescent="0.3"/>
    <row r="558" ht="33.6" customHeight="1" x14ac:dyDescent="0.3"/>
    <row r="559" ht="33.6" customHeight="1" x14ac:dyDescent="0.3"/>
    <row r="560" ht="33.6" customHeight="1" x14ac:dyDescent="0.3"/>
    <row r="561" ht="33.6" customHeight="1" x14ac:dyDescent="0.3"/>
    <row r="562" ht="33.6" customHeight="1" x14ac:dyDescent="0.3"/>
    <row r="563" ht="33.6" customHeight="1" x14ac:dyDescent="0.3"/>
    <row r="564" ht="33.6" customHeight="1" x14ac:dyDescent="0.3"/>
    <row r="565" ht="33.6" customHeight="1" x14ac:dyDescent="0.3"/>
    <row r="566" ht="33.6" customHeight="1" x14ac:dyDescent="0.3"/>
    <row r="567" ht="33.6" customHeight="1" x14ac:dyDescent="0.3"/>
    <row r="568" ht="33.6" customHeight="1" x14ac:dyDescent="0.3"/>
    <row r="569" ht="33.6" customHeight="1" x14ac:dyDescent="0.3"/>
    <row r="570" ht="33.6" customHeight="1" x14ac:dyDescent="0.3"/>
    <row r="571" ht="33.6" customHeight="1" x14ac:dyDescent="0.3"/>
    <row r="572" ht="33.6" customHeight="1" x14ac:dyDescent="0.3"/>
    <row r="573" ht="33.6" customHeight="1" x14ac:dyDescent="0.3"/>
    <row r="574" ht="33.6" customHeight="1" x14ac:dyDescent="0.3"/>
    <row r="575" ht="33.6" customHeight="1" x14ac:dyDescent="0.3"/>
    <row r="576" ht="33.6" customHeight="1" x14ac:dyDescent="0.3"/>
    <row r="577" ht="33.6" customHeight="1" x14ac:dyDescent="0.3"/>
    <row r="578" ht="33.6" customHeight="1" x14ac:dyDescent="0.3"/>
    <row r="579" ht="33.6" customHeight="1" x14ac:dyDescent="0.3"/>
    <row r="580" ht="33.6" customHeight="1" x14ac:dyDescent="0.3"/>
    <row r="581" ht="33.6" customHeight="1" x14ac:dyDescent="0.3"/>
    <row r="582" ht="33.6" customHeight="1" x14ac:dyDescent="0.3"/>
    <row r="583" ht="33.6" customHeight="1" x14ac:dyDescent="0.3"/>
    <row r="584" ht="33.6" customHeight="1" x14ac:dyDescent="0.3"/>
    <row r="585" ht="33.6" customHeight="1" x14ac:dyDescent="0.3"/>
    <row r="586" ht="33.6" customHeight="1" x14ac:dyDescent="0.3"/>
    <row r="587" ht="33.6" customHeight="1" x14ac:dyDescent="0.3"/>
    <row r="588" ht="33.6" customHeight="1" x14ac:dyDescent="0.3"/>
    <row r="589" ht="33.6" customHeight="1" x14ac:dyDescent="0.3"/>
    <row r="590" ht="33.6" customHeight="1" x14ac:dyDescent="0.3"/>
    <row r="591" ht="33.6" customHeight="1" x14ac:dyDescent="0.3"/>
  </sheetData>
  <autoFilter ref="A3:I591" xr:uid="{00000000-0009-0000-0000-000003000000}"/>
  <mergeCells count="2">
    <mergeCell ref="A1:I1"/>
    <mergeCell ref="A2:I2"/>
  </mergeCells>
  <dataValidations count="4">
    <dataValidation type="list" allowBlank="1" sqref="E4:E500" xr:uid="{00000000-0002-0000-0300-000000000000}">
      <formula1>"Duplicado,Revisión sistemática,Fuera de alcance,Otro"</formula1>
    </dataValidation>
    <dataValidation type="list" allowBlank="1" sqref="G4:G500" xr:uid="{00000000-0002-0000-0300-000001000000}">
      <formula1>"Sí,No"</formula1>
    </dataValidation>
    <dataValidation type="list" allowBlank="1" sqref="H4:H500" xr:uid="{00000000-0002-0000-0300-000002000000}">
      <formula1>"Primario,Revisión,Otro"</formula1>
    </dataValidation>
    <dataValidation type="list" allowBlank="1" sqref="I4:I500" xr:uid="{00000000-0002-0000-0300-000003000000}">
      <formula1>"Mantener,Excluir"</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01"/>
  <sheetViews>
    <sheetView zoomScale="81" zoomScaleNormal="81" workbookViewId="0">
      <selection activeCell="B212" sqref="B212"/>
    </sheetView>
  </sheetViews>
  <sheetFormatPr baseColWidth="10" defaultColWidth="8.88671875" defaultRowHeight="14.4" x14ac:dyDescent="0.3"/>
  <cols>
    <col min="1" max="1" width="12.33203125" customWidth="1"/>
    <col min="2" max="2" width="16" customWidth="1"/>
    <col min="3" max="3" width="60" customWidth="1"/>
    <col min="4" max="4" width="45" customWidth="1"/>
    <col min="5" max="9" width="60" customWidth="1"/>
    <col min="10" max="10" width="37.109375" customWidth="1"/>
    <col min="11" max="11" width="44" customWidth="1"/>
    <col min="12" max="12" width="35" customWidth="1"/>
    <col min="13" max="13" width="60" customWidth="1"/>
    <col min="14" max="14" width="30" customWidth="1"/>
  </cols>
  <sheetData>
    <row r="1" spans="1:14" ht="17.55" customHeight="1" x14ac:dyDescent="0.3">
      <c r="A1" s="35" t="s">
        <v>454</v>
      </c>
      <c r="B1" s="34"/>
      <c r="C1" s="34"/>
      <c r="D1" s="34"/>
      <c r="E1" s="34"/>
      <c r="F1" s="34"/>
      <c r="G1" s="34"/>
      <c r="H1" s="34"/>
      <c r="I1" s="34"/>
      <c r="J1" s="34"/>
      <c r="K1" s="34"/>
      <c r="L1" s="34"/>
      <c r="M1" s="34"/>
      <c r="N1" s="34"/>
    </row>
    <row r="2" spans="1:14" ht="28.8" customHeight="1" x14ac:dyDescent="0.3">
      <c r="A2" s="33" t="s">
        <v>455</v>
      </c>
      <c r="B2" s="34"/>
      <c r="C2" s="34"/>
      <c r="D2" s="34"/>
      <c r="E2" s="34"/>
      <c r="F2" s="34"/>
      <c r="G2" s="34"/>
      <c r="H2" s="34"/>
      <c r="I2" s="34"/>
      <c r="J2" s="34"/>
      <c r="K2" s="34"/>
      <c r="L2" s="34"/>
      <c r="M2" s="34"/>
      <c r="N2" s="34"/>
    </row>
    <row r="3" spans="1:14" ht="28.8" customHeight="1" x14ac:dyDescent="0.3">
      <c r="A3" s="1" t="s">
        <v>2</v>
      </c>
      <c r="B3" s="1" t="s">
        <v>3</v>
      </c>
      <c r="C3" s="1" t="s">
        <v>4</v>
      </c>
      <c r="D3" s="1" t="s">
        <v>456</v>
      </c>
      <c r="E3" s="1" t="s">
        <v>457</v>
      </c>
      <c r="F3" s="1" t="s">
        <v>458</v>
      </c>
      <c r="G3" s="1" t="s">
        <v>459</v>
      </c>
      <c r="H3" s="1" t="s">
        <v>460</v>
      </c>
      <c r="I3" s="1" t="s">
        <v>461</v>
      </c>
      <c r="J3" s="1" t="s">
        <v>462</v>
      </c>
      <c r="K3" s="1" t="s">
        <v>463</v>
      </c>
      <c r="L3" s="1" t="s">
        <v>464</v>
      </c>
      <c r="M3" s="1" t="s">
        <v>465</v>
      </c>
      <c r="N3" s="1" t="s">
        <v>466</v>
      </c>
    </row>
    <row r="4" spans="1:14" ht="33.6" customHeight="1" x14ac:dyDescent="0.3"/>
    <row r="5" spans="1:14" ht="33.6" customHeight="1" x14ac:dyDescent="0.3"/>
    <row r="6" spans="1:14" ht="33.6" customHeight="1" x14ac:dyDescent="0.3"/>
    <row r="7" spans="1:14" ht="33.6" customHeight="1" x14ac:dyDescent="0.3"/>
    <row r="8" spans="1:14" ht="33.6" customHeight="1" x14ac:dyDescent="0.3"/>
    <row r="9" spans="1:14" ht="33.6" customHeight="1" x14ac:dyDescent="0.3"/>
    <row r="10" spans="1:14" ht="33.6" customHeight="1" x14ac:dyDescent="0.3"/>
    <row r="11" spans="1:14" ht="33.6" customHeight="1" x14ac:dyDescent="0.3"/>
    <row r="12" spans="1:14" ht="33.6" customHeight="1" x14ac:dyDescent="0.3"/>
    <row r="13" spans="1:14" ht="33.6" customHeight="1" x14ac:dyDescent="0.3"/>
    <row r="14" spans="1:14" ht="33.6" customHeight="1" x14ac:dyDescent="0.3"/>
    <row r="15" spans="1:14" ht="33.6" customHeight="1" x14ac:dyDescent="0.3"/>
    <row r="16" spans="1:14" ht="33.6" customHeight="1" x14ac:dyDescent="0.3"/>
    <row r="17" ht="33.6" customHeight="1" x14ac:dyDescent="0.3"/>
    <row r="18" ht="33.6" customHeight="1" x14ac:dyDescent="0.3"/>
    <row r="19" ht="33.6" customHeight="1" x14ac:dyDescent="0.3"/>
    <row r="20" ht="33.6" customHeight="1" x14ac:dyDescent="0.3"/>
    <row r="21" ht="33.6" customHeight="1" x14ac:dyDescent="0.3"/>
    <row r="22" ht="33.6" customHeight="1" x14ac:dyDescent="0.3"/>
    <row r="23" ht="33.6" customHeight="1" x14ac:dyDescent="0.3"/>
    <row r="24" ht="33.6" customHeight="1" x14ac:dyDescent="0.3"/>
    <row r="25" ht="33.6" customHeight="1" x14ac:dyDescent="0.3"/>
    <row r="26" ht="33.6" customHeight="1" x14ac:dyDescent="0.3"/>
    <row r="27" ht="33.6" customHeight="1" x14ac:dyDescent="0.3"/>
    <row r="28" ht="33.6" customHeight="1" x14ac:dyDescent="0.3"/>
    <row r="29" ht="33.6" customHeight="1" x14ac:dyDescent="0.3"/>
    <row r="30" ht="33.6" customHeight="1" x14ac:dyDescent="0.3"/>
    <row r="31" ht="33.6" customHeight="1" x14ac:dyDescent="0.3"/>
    <row r="32" ht="33.6" customHeight="1" x14ac:dyDescent="0.3"/>
    <row r="33" ht="33.6" customHeight="1" x14ac:dyDescent="0.3"/>
    <row r="34" ht="33.6" customHeight="1" x14ac:dyDescent="0.3"/>
    <row r="35" ht="33.6" customHeight="1" x14ac:dyDescent="0.3"/>
    <row r="36" ht="33.6" customHeight="1" x14ac:dyDescent="0.3"/>
    <row r="37" ht="33.6" customHeight="1" x14ac:dyDescent="0.3"/>
    <row r="38" ht="33.6" customHeight="1" x14ac:dyDescent="0.3"/>
    <row r="39" ht="33.6" customHeight="1" x14ac:dyDescent="0.3"/>
    <row r="40" ht="33.6" customHeight="1" x14ac:dyDescent="0.3"/>
    <row r="41" ht="33.6" customHeight="1" x14ac:dyDescent="0.3"/>
    <row r="42" ht="33.6" customHeight="1" x14ac:dyDescent="0.3"/>
    <row r="43" ht="33.6" customHeight="1" x14ac:dyDescent="0.3"/>
    <row r="44" ht="33.6" customHeight="1" x14ac:dyDescent="0.3"/>
    <row r="45" ht="33.6" customHeight="1" x14ac:dyDescent="0.3"/>
    <row r="46" ht="33.6" customHeight="1" x14ac:dyDescent="0.3"/>
    <row r="47" ht="33.6" customHeight="1" x14ac:dyDescent="0.3"/>
    <row r="48" ht="33.6" customHeight="1" x14ac:dyDescent="0.3"/>
    <row r="49" ht="33.6" customHeight="1" x14ac:dyDescent="0.3"/>
    <row r="50" ht="33.6" customHeight="1" x14ac:dyDescent="0.3"/>
    <row r="51" ht="33.6" customHeight="1" x14ac:dyDescent="0.3"/>
    <row r="52" ht="33.6" customHeight="1" x14ac:dyDescent="0.3"/>
    <row r="53" ht="33.6" customHeight="1" x14ac:dyDescent="0.3"/>
    <row r="54" ht="33.6" customHeight="1" x14ac:dyDescent="0.3"/>
    <row r="55" ht="33.6" customHeight="1" x14ac:dyDescent="0.3"/>
    <row r="56" ht="33.6" customHeight="1" x14ac:dyDescent="0.3"/>
    <row r="57" ht="33.6" customHeight="1" x14ac:dyDescent="0.3"/>
    <row r="58" ht="33.6" customHeight="1" x14ac:dyDescent="0.3"/>
    <row r="59" ht="33.6" customHeight="1" x14ac:dyDescent="0.3"/>
    <row r="60" ht="33.6" customHeight="1" x14ac:dyDescent="0.3"/>
    <row r="61" ht="33.6" customHeight="1" x14ac:dyDescent="0.3"/>
    <row r="62" ht="33.6" customHeight="1" x14ac:dyDescent="0.3"/>
    <row r="63" ht="33.6" customHeight="1" x14ac:dyDescent="0.3"/>
    <row r="64" ht="33.6" customHeight="1" x14ac:dyDescent="0.3"/>
    <row r="65" ht="33.6" customHeight="1" x14ac:dyDescent="0.3"/>
    <row r="66" ht="33.6" customHeight="1" x14ac:dyDescent="0.3"/>
    <row r="67" ht="33.6" customHeight="1" x14ac:dyDescent="0.3"/>
    <row r="68" ht="33.6" customHeight="1" x14ac:dyDescent="0.3"/>
    <row r="69" ht="33.6" customHeight="1" x14ac:dyDescent="0.3"/>
    <row r="70" ht="33.6" customHeight="1" x14ac:dyDescent="0.3"/>
    <row r="71" ht="33.6" customHeight="1" x14ac:dyDescent="0.3"/>
    <row r="72" ht="33.6" customHeight="1" x14ac:dyDescent="0.3"/>
    <row r="73" ht="33.6" customHeight="1" x14ac:dyDescent="0.3"/>
    <row r="74" ht="33.6" customHeight="1" x14ac:dyDescent="0.3"/>
    <row r="75" ht="33.6" customHeight="1" x14ac:dyDescent="0.3"/>
    <row r="76" ht="33.6" customHeight="1" x14ac:dyDescent="0.3"/>
    <row r="77" ht="33.6" customHeight="1" x14ac:dyDescent="0.3"/>
    <row r="78" ht="33.6" customHeight="1" x14ac:dyDescent="0.3"/>
    <row r="79" ht="33.6" customHeight="1" x14ac:dyDescent="0.3"/>
    <row r="80" ht="33.6" customHeight="1" x14ac:dyDescent="0.3"/>
    <row r="81" ht="33.6" customHeight="1" x14ac:dyDescent="0.3"/>
    <row r="82" ht="33.6" customHeight="1" x14ac:dyDescent="0.3"/>
    <row r="83" ht="33.6" customHeight="1" x14ac:dyDescent="0.3"/>
    <row r="84" ht="33.6" customHeight="1" x14ac:dyDescent="0.3"/>
    <row r="85" ht="33.6" customHeight="1" x14ac:dyDescent="0.3"/>
    <row r="86" ht="33.6" customHeight="1" x14ac:dyDescent="0.3"/>
    <row r="87" ht="33.6" customHeight="1" x14ac:dyDescent="0.3"/>
    <row r="88" ht="33.6" customHeight="1" x14ac:dyDescent="0.3"/>
    <row r="89" ht="33.6" customHeight="1" x14ac:dyDescent="0.3"/>
    <row r="90" ht="33.6" customHeight="1" x14ac:dyDescent="0.3"/>
    <row r="91" ht="33.6" customHeight="1" x14ac:dyDescent="0.3"/>
    <row r="92" ht="33.6" customHeight="1" x14ac:dyDescent="0.3"/>
    <row r="93" ht="33.6" customHeight="1" x14ac:dyDescent="0.3"/>
    <row r="94" ht="33.6" customHeight="1" x14ac:dyDescent="0.3"/>
    <row r="95" ht="33.6" customHeight="1" x14ac:dyDescent="0.3"/>
    <row r="96" ht="33.6" customHeight="1" x14ac:dyDescent="0.3"/>
    <row r="97" ht="33.6" customHeight="1" x14ac:dyDescent="0.3"/>
    <row r="98" ht="33.6" customHeight="1" x14ac:dyDescent="0.3"/>
    <row r="99" ht="33.6" customHeight="1" x14ac:dyDescent="0.3"/>
    <row r="100" ht="33.6" customHeight="1" x14ac:dyDescent="0.3"/>
    <row r="101" ht="33.6" customHeight="1" x14ac:dyDescent="0.3"/>
    <row r="102" ht="33.6" customHeight="1" x14ac:dyDescent="0.3"/>
    <row r="103" ht="33.6" customHeight="1" x14ac:dyDescent="0.3"/>
    <row r="104" ht="33.6" customHeight="1" x14ac:dyDescent="0.3"/>
    <row r="105" ht="33.6" customHeight="1" x14ac:dyDescent="0.3"/>
    <row r="106" ht="33.6" customHeight="1" x14ac:dyDescent="0.3"/>
    <row r="107" ht="33.6" customHeight="1" x14ac:dyDescent="0.3"/>
    <row r="108" ht="33.6" customHeight="1" x14ac:dyDescent="0.3"/>
    <row r="109" ht="33.6" customHeight="1" x14ac:dyDescent="0.3"/>
    <row r="110" ht="33.6" customHeight="1" x14ac:dyDescent="0.3"/>
    <row r="111" ht="33.6" customHeight="1" x14ac:dyDescent="0.3"/>
    <row r="112" ht="33.6" customHeight="1" x14ac:dyDescent="0.3"/>
    <row r="113" ht="33.6" customHeight="1" x14ac:dyDescent="0.3"/>
    <row r="114" ht="33.6" customHeight="1" x14ac:dyDescent="0.3"/>
    <row r="115" ht="33.6" customHeight="1" x14ac:dyDescent="0.3"/>
    <row r="116" ht="33.6" customHeight="1" x14ac:dyDescent="0.3"/>
    <row r="117" ht="33.6" customHeight="1" x14ac:dyDescent="0.3"/>
    <row r="118" ht="33.6" customHeight="1" x14ac:dyDescent="0.3"/>
    <row r="119" ht="33.6" customHeight="1" x14ac:dyDescent="0.3"/>
    <row r="120" ht="33.6" customHeight="1" x14ac:dyDescent="0.3"/>
    <row r="121" ht="33.6" customHeight="1" x14ac:dyDescent="0.3"/>
    <row r="122" ht="33.6" customHeight="1" x14ac:dyDescent="0.3"/>
    <row r="123" ht="33.6" customHeight="1" x14ac:dyDescent="0.3"/>
    <row r="124" ht="33.6" customHeight="1" x14ac:dyDescent="0.3"/>
    <row r="125" ht="33.6" customHeight="1" x14ac:dyDescent="0.3"/>
    <row r="126" ht="33.6" customHeight="1" x14ac:dyDescent="0.3"/>
    <row r="127" ht="33.6" customHeight="1" x14ac:dyDescent="0.3"/>
    <row r="128" ht="33.6" customHeight="1" x14ac:dyDescent="0.3"/>
    <row r="129" ht="33.6" customHeight="1" x14ac:dyDescent="0.3"/>
    <row r="130" ht="33.6" customHeight="1" x14ac:dyDescent="0.3"/>
    <row r="131" ht="33.6" customHeight="1" x14ac:dyDescent="0.3"/>
    <row r="132" ht="33.6" customHeight="1" x14ac:dyDescent="0.3"/>
    <row r="133" ht="33.6" customHeight="1" x14ac:dyDescent="0.3"/>
    <row r="134" ht="33.6" customHeight="1" x14ac:dyDescent="0.3"/>
    <row r="135" ht="33.6" customHeight="1" x14ac:dyDescent="0.3"/>
    <row r="136" ht="33.6" customHeight="1" x14ac:dyDescent="0.3"/>
    <row r="137" ht="33.6" customHeight="1" x14ac:dyDescent="0.3"/>
    <row r="138" ht="33.6" customHeight="1" x14ac:dyDescent="0.3"/>
    <row r="139" ht="33.6" customHeight="1" x14ac:dyDescent="0.3"/>
    <row r="140" ht="33.6" customHeight="1" x14ac:dyDescent="0.3"/>
    <row r="141" ht="33.6" customHeight="1" x14ac:dyDescent="0.3"/>
    <row r="142" ht="33.6" customHeight="1" x14ac:dyDescent="0.3"/>
    <row r="143" ht="33.6" customHeight="1" x14ac:dyDescent="0.3"/>
    <row r="144" ht="33.6" customHeight="1" x14ac:dyDescent="0.3"/>
    <row r="145" ht="33.6" customHeight="1" x14ac:dyDescent="0.3"/>
    <row r="146" ht="33.6" customHeight="1" x14ac:dyDescent="0.3"/>
    <row r="147" ht="33.6" customHeight="1" x14ac:dyDescent="0.3"/>
    <row r="148" ht="33.6" customHeight="1" x14ac:dyDescent="0.3"/>
    <row r="149" ht="33.6" customHeight="1" x14ac:dyDescent="0.3"/>
    <row r="150" ht="33.6" customHeight="1" x14ac:dyDescent="0.3"/>
    <row r="151" ht="33.6" customHeight="1" x14ac:dyDescent="0.3"/>
    <row r="152" ht="33.6" customHeight="1" x14ac:dyDescent="0.3"/>
    <row r="153" ht="33.6" customHeight="1" x14ac:dyDescent="0.3"/>
    <row r="154" ht="33.6" customHeight="1" x14ac:dyDescent="0.3"/>
    <row r="155" ht="33.6" customHeight="1" x14ac:dyDescent="0.3"/>
    <row r="156" ht="33.6" customHeight="1" x14ac:dyDescent="0.3"/>
    <row r="157" ht="33.6" customHeight="1" x14ac:dyDescent="0.3"/>
    <row r="158" ht="33.6" customHeight="1" x14ac:dyDescent="0.3"/>
    <row r="159" ht="33.6" customHeight="1" x14ac:dyDescent="0.3"/>
    <row r="160" ht="33.6" customHeight="1" x14ac:dyDescent="0.3"/>
    <row r="161" ht="33.6" customHeight="1" x14ac:dyDescent="0.3"/>
    <row r="162" ht="33.6" customHeight="1" x14ac:dyDescent="0.3"/>
    <row r="163" ht="33.6" customHeight="1" x14ac:dyDescent="0.3"/>
    <row r="164" ht="33.6" customHeight="1" x14ac:dyDescent="0.3"/>
    <row r="165" ht="33.6" customHeight="1" x14ac:dyDescent="0.3"/>
    <row r="166" ht="33.6" customHeight="1" x14ac:dyDescent="0.3"/>
    <row r="167" ht="33.6" customHeight="1" x14ac:dyDescent="0.3"/>
    <row r="168" ht="33.6" customHeight="1" x14ac:dyDescent="0.3"/>
    <row r="169" ht="33.6" customHeight="1" x14ac:dyDescent="0.3"/>
    <row r="170" ht="33.6" customHeight="1" x14ac:dyDescent="0.3"/>
    <row r="171" ht="33.6" customHeight="1" x14ac:dyDescent="0.3"/>
    <row r="172" ht="33.6" customHeight="1" x14ac:dyDescent="0.3"/>
    <row r="173" ht="33.6" customHeight="1" x14ac:dyDescent="0.3"/>
    <row r="174" ht="33.6" customHeight="1" x14ac:dyDescent="0.3"/>
    <row r="175" ht="33.6" customHeight="1" x14ac:dyDescent="0.3"/>
    <row r="176" ht="33.6" customHeight="1" x14ac:dyDescent="0.3"/>
    <row r="177" ht="33.6" customHeight="1" x14ac:dyDescent="0.3"/>
    <row r="178" ht="33.6" customHeight="1" x14ac:dyDescent="0.3"/>
    <row r="179" ht="33.6" customHeight="1" x14ac:dyDescent="0.3"/>
    <row r="180" ht="33.6" customHeight="1" x14ac:dyDescent="0.3"/>
    <row r="181" ht="33.6" customHeight="1" x14ac:dyDescent="0.3"/>
    <row r="182" ht="33.6" customHeight="1" x14ac:dyDescent="0.3"/>
    <row r="183" ht="33.6" customHeight="1" x14ac:dyDescent="0.3"/>
    <row r="184" ht="33.6" customHeight="1" x14ac:dyDescent="0.3"/>
    <row r="185" ht="33.6" customHeight="1" x14ac:dyDescent="0.3"/>
    <row r="186" ht="33.6" customHeight="1" x14ac:dyDescent="0.3"/>
    <row r="187" ht="33.6" customHeight="1" x14ac:dyDescent="0.3"/>
    <row r="188" ht="33.6" customHeight="1" x14ac:dyDescent="0.3"/>
    <row r="189" ht="33.6" customHeight="1" x14ac:dyDescent="0.3"/>
    <row r="190" ht="33.6" customHeight="1" x14ac:dyDescent="0.3"/>
    <row r="191" ht="33.6" customHeight="1" x14ac:dyDescent="0.3"/>
    <row r="192" ht="33.6" customHeight="1" x14ac:dyDescent="0.3"/>
    <row r="193" ht="33.6" customHeight="1" x14ac:dyDescent="0.3"/>
    <row r="194" ht="33.6" customHeight="1" x14ac:dyDescent="0.3"/>
    <row r="195" ht="33.6" customHeight="1" x14ac:dyDescent="0.3"/>
    <row r="196" ht="33.6" customHeight="1" x14ac:dyDescent="0.3"/>
    <row r="197" ht="33.6" customHeight="1" x14ac:dyDescent="0.3"/>
    <row r="198" ht="33.6" customHeight="1" x14ac:dyDescent="0.3"/>
    <row r="199" ht="33.6" customHeight="1" x14ac:dyDescent="0.3"/>
    <row r="200" ht="33.6" customHeight="1" x14ac:dyDescent="0.3"/>
    <row r="201" ht="33.6" customHeight="1" x14ac:dyDescent="0.3"/>
  </sheetData>
  <autoFilter ref="A3:N201" xr:uid="{00000000-0009-0000-0000-000004000000}"/>
  <mergeCells count="2">
    <mergeCell ref="A2:N2"/>
    <mergeCell ref="A1:N1"/>
  </mergeCells>
  <dataValidations count="3">
    <dataValidation type="list" allowBlank="1" sqref="K4:K500" xr:uid="{00000000-0002-0000-0400-000000000000}">
      <formula1>"Primario,Revisión,Otro"</formula1>
    </dataValidation>
    <dataValidation type="list" allowBlank="1" sqref="L4:L500" xr:uid="{00000000-0002-0000-0400-000001000000}">
      <formula1>"Alto,Medio,Bajo"</formula1>
    </dataValidation>
    <dataValidation type="list" allowBlank="1" sqref="N4:N500" xr:uid="{00000000-0002-0000-0400-000002000000}">
      <formula1>"Sí,No"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03"/>
  <sheetViews>
    <sheetView workbookViewId="0">
      <selection activeCell="K3" sqref="K3"/>
    </sheetView>
  </sheetViews>
  <sheetFormatPr baseColWidth="10" defaultColWidth="8.88671875" defaultRowHeight="14.4" x14ac:dyDescent="0.3"/>
  <cols>
    <col min="1" max="1" width="8" customWidth="1"/>
    <col min="2" max="2" width="16" customWidth="1"/>
    <col min="3" max="3" width="60" customWidth="1"/>
    <col min="4" max="13" width="8" customWidth="1"/>
    <col min="14" max="14" width="13" customWidth="1"/>
    <col min="15" max="15" width="16" customWidth="1"/>
    <col min="16" max="16" width="60" customWidth="1"/>
  </cols>
  <sheetData>
    <row r="1" spans="1:16" ht="17.55" customHeight="1" x14ac:dyDescent="0.3">
      <c r="A1" s="35" t="s">
        <v>467</v>
      </c>
      <c r="B1" s="34"/>
      <c r="C1" s="34"/>
      <c r="D1" s="34"/>
      <c r="E1" s="34"/>
      <c r="F1" s="34"/>
      <c r="G1" s="34"/>
      <c r="H1" s="34"/>
      <c r="I1" s="34"/>
      <c r="J1" s="34"/>
      <c r="K1" s="34"/>
      <c r="L1" s="34"/>
      <c r="M1" s="34"/>
      <c r="N1" s="34"/>
      <c r="O1" s="34"/>
      <c r="P1" s="34"/>
    </row>
    <row r="2" spans="1:16" ht="28.8" customHeight="1" x14ac:dyDescent="0.3">
      <c r="A2" s="33" t="s">
        <v>468</v>
      </c>
      <c r="B2" s="34"/>
      <c r="C2" s="34"/>
      <c r="D2" s="34"/>
      <c r="E2" s="34"/>
      <c r="F2" s="34"/>
      <c r="G2" s="34"/>
      <c r="H2" s="34"/>
      <c r="I2" s="34"/>
      <c r="J2" s="34"/>
      <c r="K2" s="34"/>
      <c r="L2" s="34"/>
      <c r="M2" s="34"/>
      <c r="N2" s="34"/>
      <c r="O2" s="34"/>
      <c r="P2" s="34"/>
    </row>
    <row r="3" spans="1:16" x14ac:dyDescent="0.3">
      <c r="A3" s="1" t="s">
        <v>2</v>
      </c>
      <c r="B3" s="1" t="s">
        <v>3</v>
      </c>
      <c r="C3" s="1" t="s">
        <v>4</v>
      </c>
      <c r="D3" s="1" t="s">
        <v>395</v>
      </c>
      <c r="E3" s="1" t="s">
        <v>397</v>
      </c>
      <c r="F3" s="1" t="s">
        <v>399</v>
      </c>
      <c r="G3" s="1" t="s">
        <v>401</v>
      </c>
      <c r="H3" s="1" t="s">
        <v>403</v>
      </c>
      <c r="I3" s="1" t="s">
        <v>405</v>
      </c>
      <c r="J3" s="1" t="s">
        <v>407</v>
      </c>
      <c r="K3" s="1" t="s">
        <v>409</v>
      </c>
      <c r="L3" s="1" t="s">
        <v>411</v>
      </c>
      <c r="M3" s="1" t="s">
        <v>413</v>
      </c>
      <c r="N3" s="1" t="s">
        <v>469</v>
      </c>
      <c r="O3" s="1" t="s">
        <v>470</v>
      </c>
      <c r="P3" s="1" t="s">
        <v>471</v>
      </c>
    </row>
    <row r="4" spans="1:16" ht="33.6" customHeight="1" x14ac:dyDescent="0.3">
      <c r="N4" t="str">
        <f t="shared" ref="N4:N67" si="0">IF(COUNT(D4:M4)=0,"",SUM(D4:M4))</f>
        <v/>
      </c>
      <c r="O4" t="str">
        <f t="shared" ref="O4:O67" si="1">IF(N4="","",IF(N4&gt;=16,"Alta calidad",IF(N4&gt;=11,"Media calidad","Baja calidad")))</f>
        <v/>
      </c>
    </row>
    <row r="5" spans="1:16" ht="33.6" customHeight="1" x14ac:dyDescent="0.3">
      <c r="N5" t="str">
        <f t="shared" si="0"/>
        <v/>
      </c>
      <c r="O5" t="str">
        <f t="shared" si="1"/>
        <v/>
      </c>
    </row>
    <row r="6" spans="1:16" ht="33.6" customHeight="1" x14ac:dyDescent="0.3">
      <c r="N6" t="str">
        <f t="shared" si="0"/>
        <v/>
      </c>
      <c r="O6" t="str">
        <f t="shared" si="1"/>
        <v/>
      </c>
    </row>
    <row r="7" spans="1:16" ht="33.6" customHeight="1" x14ac:dyDescent="0.3">
      <c r="N7" t="str">
        <f t="shared" si="0"/>
        <v/>
      </c>
      <c r="O7" t="str">
        <f t="shared" si="1"/>
        <v/>
      </c>
    </row>
    <row r="8" spans="1:16" ht="33.6" customHeight="1" x14ac:dyDescent="0.3">
      <c r="N8" t="str">
        <f t="shared" si="0"/>
        <v/>
      </c>
      <c r="O8" t="str">
        <f t="shared" si="1"/>
        <v/>
      </c>
    </row>
    <row r="9" spans="1:16" ht="33.6" customHeight="1" x14ac:dyDescent="0.3">
      <c r="N9" t="str">
        <f t="shared" si="0"/>
        <v/>
      </c>
      <c r="O9" t="str">
        <f t="shared" si="1"/>
        <v/>
      </c>
    </row>
    <row r="10" spans="1:16" ht="33.6" customHeight="1" x14ac:dyDescent="0.3">
      <c r="N10" t="str">
        <f t="shared" si="0"/>
        <v/>
      </c>
      <c r="O10" t="str">
        <f t="shared" si="1"/>
        <v/>
      </c>
    </row>
    <row r="11" spans="1:16" ht="33.6" customHeight="1" x14ac:dyDescent="0.3">
      <c r="N11" t="str">
        <f t="shared" si="0"/>
        <v/>
      </c>
      <c r="O11" t="str">
        <f t="shared" si="1"/>
        <v/>
      </c>
    </row>
    <row r="12" spans="1:16" ht="33.6" customHeight="1" x14ac:dyDescent="0.3">
      <c r="N12" t="str">
        <f t="shared" si="0"/>
        <v/>
      </c>
      <c r="O12" t="str">
        <f t="shared" si="1"/>
        <v/>
      </c>
    </row>
    <row r="13" spans="1:16" ht="33.6" customHeight="1" x14ac:dyDescent="0.3">
      <c r="N13" t="str">
        <f t="shared" si="0"/>
        <v/>
      </c>
      <c r="O13" t="str">
        <f t="shared" si="1"/>
        <v/>
      </c>
    </row>
    <row r="14" spans="1:16" ht="33.6" customHeight="1" x14ac:dyDescent="0.3">
      <c r="N14" t="str">
        <f t="shared" si="0"/>
        <v/>
      </c>
      <c r="O14" t="str">
        <f t="shared" si="1"/>
        <v/>
      </c>
    </row>
    <row r="15" spans="1:16" ht="33.6" customHeight="1" x14ac:dyDescent="0.3">
      <c r="N15" t="str">
        <f t="shared" si="0"/>
        <v/>
      </c>
      <c r="O15" t="str">
        <f t="shared" si="1"/>
        <v/>
      </c>
    </row>
    <row r="16" spans="1:16" ht="33.6" customHeight="1" x14ac:dyDescent="0.3">
      <c r="N16" t="str">
        <f t="shared" si="0"/>
        <v/>
      </c>
      <c r="O16" t="str">
        <f t="shared" si="1"/>
        <v/>
      </c>
    </row>
    <row r="17" spans="14:15" ht="33.6" customHeight="1" x14ac:dyDescent="0.3">
      <c r="N17" t="str">
        <f t="shared" si="0"/>
        <v/>
      </c>
      <c r="O17" t="str">
        <f t="shared" si="1"/>
        <v/>
      </c>
    </row>
    <row r="18" spans="14:15" ht="33.6" customHeight="1" x14ac:dyDescent="0.3">
      <c r="N18" t="str">
        <f t="shared" si="0"/>
        <v/>
      </c>
      <c r="O18" t="str">
        <f t="shared" si="1"/>
        <v/>
      </c>
    </row>
    <row r="19" spans="14:15" ht="33.6" customHeight="1" x14ac:dyDescent="0.3">
      <c r="N19" t="str">
        <f t="shared" si="0"/>
        <v/>
      </c>
      <c r="O19" t="str">
        <f t="shared" si="1"/>
        <v/>
      </c>
    </row>
    <row r="20" spans="14:15" ht="33.6" customHeight="1" x14ac:dyDescent="0.3">
      <c r="N20" t="str">
        <f t="shared" si="0"/>
        <v/>
      </c>
      <c r="O20" t="str">
        <f t="shared" si="1"/>
        <v/>
      </c>
    </row>
    <row r="21" spans="14:15" ht="33.6" customHeight="1" x14ac:dyDescent="0.3">
      <c r="N21" t="str">
        <f t="shared" si="0"/>
        <v/>
      </c>
      <c r="O21" t="str">
        <f t="shared" si="1"/>
        <v/>
      </c>
    </row>
    <row r="22" spans="14:15" ht="33.6" customHeight="1" x14ac:dyDescent="0.3">
      <c r="N22" t="str">
        <f t="shared" si="0"/>
        <v/>
      </c>
      <c r="O22" t="str">
        <f t="shared" si="1"/>
        <v/>
      </c>
    </row>
    <row r="23" spans="14:15" ht="33.6" customHeight="1" x14ac:dyDescent="0.3">
      <c r="N23" t="str">
        <f t="shared" si="0"/>
        <v/>
      </c>
      <c r="O23" t="str">
        <f t="shared" si="1"/>
        <v/>
      </c>
    </row>
    <row r="24" spans="14:15" ht="33.6" customHeight="1" x14ac:dyDescent="0.3">
      <c r="N24" t="str">
        <f t="shared" si="0"/>
        <v/>
      </c>
      <c r="O24" t="str">
        <f t="shared" si="1"/>
        <v/>
      </c>
    </row>
    <row r="25" spans="14:15" ht="33.6" customHeight="1" x14ac:dyDescent="0.3">
      <c r="N25" t="str">
        <f t="shared" si="0"/>
        <v/>
      </c>
      <c r="O25" t="str">
        <f t="shared" si="1"/>
        <v/>
      </c>
    </row>
    <row r="26" spans="14:15" ht="33.6" customHeight="1" x14ac:dyDescent="0.3">
      <c r="N26" t="str">
        <f t="shared" si="0"/>
        <v/>
      </c>
      <c r="O26" t="str">
        <f t="shared" si="1"/>
        <v/>
      </c>
    </row>
    <row r="27" spans="14:15" ht="33.6" customHeight="1" x14ac:dyDescent="0.3">
      <c r="N27" t="str">
        <f t="shared" si="0"/>
        <v/>
      </c>
      <c r="O27" t="str">
        <f t="shared" si="1"/>
        <v/>
      </c>
    </row>
    <row r="28" spans="14:15" ht="33.6" customHeight="1" x14ac:dyDescent="0.3">
      <c r="N28" t="str">
        <f t="shared" si="0"/>
        <v/>
      </c>
      <c r="O28" t="str">
        <f t="shared" si="1"/>
        <v/>
      </c>
    </row>
    <row r="29" spans="14:15" ht="33.6" customHeight="1" x14ac:dyDescent="0.3">
      <c r="N29" t="str">
        <f t="shared" si="0"/>
        <v/>
      </c>
      <c r="O29" t="str">
        <f t="shared" si="1"/>
        <v/>
      </c>
    </row>
    <row r="30" spans="14:15" ht="33.6" customHeight="1" x14ac:dyDescent="0.3">
      <c r="N30" t="str">
        <f t="shared" si="0"/>
        <v/>
      </c>
      <c r="O30" t="str">
        <f t="shared" si="1"/>
        <v/>
      </c>
    </row>
    <row r="31" spans="14:15" ht="33.6" customHeight="1" x14ac:dyDescent="0.3">
      <c r="N31" t="str">
        <f t="shared" si="0"/>
        <v/>
      </c>
      <c r="O31" t="str">
        <f t="shared" si="1"/>
        <v/>
      </c>
    </row>
    <row r="32" spans="14:15" ht="33.6" customHeight="1" x14ac:dyDescent="0.3">
      <c r="N32" t="str">
        <f t="shared" si="0"/>
        <v/>
      </c>
      <c r="O32" t="str">
        <f t="shared" si="1"/>
        <v/>
      </c>
    </row>
    <row r="33" spans="14:15" ht="33.6" customHeight="1" x14ac:dyDescent="0.3">
      <c r="N33" t="str">
        <f t="shared" si="0"/>
        <v/>
      </c>
      <c r="O33" t="str">
        <f t="shared" si="1"/>
        <v/>
      </c>
    </row>
    <row r="34" spans="14:15" ht="33.6" customHeight="1" x14ac:dyDescent="0.3">
      <c r="N34" t="str">
        <f t="shared" si="0"/>
        <v/>
      </c>
      <c r="O34" t="str">
        <f t="shared" si="1"/>
        <v/>
      </c>
    </row>
    <row r="35" spans="14:15" ht="33.6" customHeight="1" x14ac:dyDescent="0.3">
      <c r="N35" t="str">
        <f t="shared" si="0"/>
        <v/>
      </c>
      <c r="O35" t="str">
        <f t="shared" si="1"/>
        <v/>
      </c>
    </row>
    <row r="36" spans="14:15" ht="33.6" customHeight="1" x14ac:dyDescent="0.3">
      <c r="N36" t="str">
        <f t="shared" si="0"/>
        <v/>
      </c>
      <c r="O36" t="str">
        <f t="shared" si="1"/>
        <v/>
      </c>
    </row>
    <row r="37" spans="14:15" ht="33.6" customHeight="1" x14ac:dyDescent="0.3">
      <c r="N37" t="str">
        <f t="shared" si="0"/>
        <v/>
      </c>
      <c r="O37" t="str">
        <f t="shared" si="1"/>
        <v/>
      </c>
    </row>
    <row r="38" spans="14:15" ht="33.6" customHeight="1" x14ac:dyDescent="0.3">
      <c r="N38" t="str">
        <f t="shared" si="0"/>
        <v/>
      </c>
      <c r="O38" t="str">
        <f t="shared" si="1"/>
        <v/>
      </c>
    </row>
    <row r="39" spans="14:15" ht="33.6" customHeight="1" x14ac:dyDescent="0.3">
      <c r="N39" t="str">
        <f t="shared" si="0"/>
        <v/>
      </c>
      <c r="O39" t="str">
        <f t="shared" si="1"/>
        <v/>
      </c>
    </row>
    <row r="40" spans="14:15" ht="33.6" customHeight="1" x14ac:dyDescent="0.3">
      <c r="N40" t="str">
        <f t="shared" si="0"/>
        <v/>
      </c>
      <c r="O40" t="str">
        <f t="shared" si="1"/>
        <v/>
      </c>
    </row>
    <row r="41" spans="14:15" ht="33.6" customHeight="1" x14ac:dyDescent="0.3">
      <c r="N41" t="str">
        <f t="shared" si="0"/>
        <v/>
      </c>
      <c r="O41" t="str">
        <f t="shared" si="1"/>
        <v/>
      </c>
    </row>
    <row r="42" spans="14:15" ht="33.6" customHeight="1" x14ac:dyDescent="0.3">
      <c r="N42" t="str">
        <f t="shared" si="0"/>
        <v/>
      </c>
      <c r="O42" t="str">
        <f t="shared" si="1"/>
        <v/>
      </c>
    </row>
    <row r="43" spans="14:15" ht="33.6" customHeight="1" x14ac:dyDescent="0.3">
      <c r="N43" t="str">
        <f t="shared" si="0"/>
        <v/>
      </c>
      <c r="O43" t="str">
        <f t="shared" si="1"/>
        <v/>
      </c>
    </row>
    <row r="44" spans="14:15" ht="33.6" customHeight="1" x14ac:dyDescent="0.3">
      <c r="N44" t="str">
        <f t="shared" si="0"/>
        <v/>
      </c>
      <c r="O44" t="str">
        <f t="shared" si="1"/>
        <v/>
      </c>
    </row>
    <row r="45" spans="14:15" ht="33.6" customHeight="1" x14ac:dyDescent="0.3">
      <c r="N45" t="str">
        <f t="shared" si="0"/>
        <v/>
      </c>
      <c r="O45" t="str">
        <f t="shared" si="1"/>
        <v/>
      </c>
    </row>
    <row r="46" spans="14:15" ht="33.6" customHeight="1" x14ac:dyDescent="0.3">
      <c r="N46" t="str">
        <f t="shared" si="0"/>
        <v/>
      </c>
      <c r="O46" t="str">
        <f t="shared" si="1"/>
        <v/>
      </c>
    </row>
    <row r="47" spans="14:15" ht="33.6" customHeight="1" x14ac:dyDescent="0.3">
      <c r="N47" t="str">
        <f t="shared" si="0"/>
        <v/>
      </c>
      <c r="O47" t="str">
        <f t="shared" si="1"/>
        <v/>
      </c>
    </row>
    <row r="48" spans="14:15" ht="33.6" customHeight="1" x14ac:dyDescent="0.3">
      <c r="N48" t="str">
        <f t="shared" si="0"/>
        <v/>
      </c>
      <c r="O48" t="str">
        <f t="shared" si="1"/>
        <v/>
      </c>
    </row>
    <row r="49" spans="14:15" ht="33.6" customHeight="1" x14ac:dyDescent="0.3">
      <c r="N49" t="str">
        <f t="shared" si="0"/>
        <v/>
      </c>
      <c r="O49" t="str">
        <f t="shared" si="1"/>
        <v/>
      </c>
    </row>
    <row r="50" spans="14:15" ht="33.6" customHeight="1" x14ac:dyDescent="0.3">
      <c r="N50" t="str">
        <f t="shared" si="0"/>
        <v/>
      </c>
      <c r="O50" t="str">
        <f t="shared" si="1"/>
        <v/>
      </c>
    </row>
    <row r="51" spans="14:15" ht="33.6" customHeight="1" x14ac:dyDescent="0.3">
      <c r="N51" t="str">
        <f t="shared" si="0"/>
        <v/>
      </c>
      <c r="O51" t="str">
        <f t="shared" si="1"/>
        <v/>
      </c>
    </row>
    <row r="52" spans="14:15" ht="33.6" customHeight="1" x14ac:dyDescent="0.3">
      <c r="N52" t="str">
        <f t="shared" si="0"/>
        <v/>
      </c>
      <c r="O52" t="str">
        <f t="shared" si="1"/>
        <v/>
      </c>
    </row>
    <row r="53" spans="14:15" ht="33.6" customHeight="1" x14ac:dyDescent="0.3">
      <c r="N53" t="str">
        <f t="shared" si="0"/>
        <v/>
      </c>
      <c r="O53" t="str">
        <f t="shared" si="1"/>
        <v/>
      </c>
    </row>
    <row r="54" spans="14:15" ht="33.6" customHeight="1" x14ac:dyDescent="0.3">
      <c r="N54" t="str">
        <f t="shared" si="0"/>
        <v/>
      </c>
      <c r="O54" t="str">
        <f t="shared" si="1"/>
        <v/>
      </c>
    </row>
    <row r="55" spans="14:15" ht="33.6" customHeight="1" x14ac:dyDescent="0.3">
      <c r="N55" t="str">
        <f t="shared" si="0"/>
        <v/>
      </c>
      <c r="O55" t="str">
        <f t="shared" si="1"/>
        <v/>
      </c>
    </row>
    <row r="56" spans="14:15" ht="33.6" customHeight="1" x14ac:dyDescent="0.3">
      <c r="N56" t="str">
        <f t="shared" si="0"/>
        <v/>
      </c>
      <c r="O56" t="str">
        <f t="shared" si="1"/>
        <v/>
      </c>
    </row>
    <row r="57" spans="14:15" ht="33.6" customHeight="1" x14ac:dyDescent="0.3">
      <c r="N57" t="str">
        <f t="shared" si="0"/>
        <v/>
      </c>
      <c r="O57" t="str">
        <f t="shared" si="1"/>
        <v/>
      </c>
    </row>
    <row r="58" spans="14:15" ht="33.6" customHeight="1" x14ac:dyDescent="0.3">
      <c r="N58" t="str">
        <f t="shared" si="0"/>
        <v/>
      </c>
      <c r="O58" t="str">
        <f t="shared" si="1"/>
        <v/>
      </c>
    </row>
    <row r="59" spans="14:15" ht="33.6" customHeight="1" x14ac:dyDescent="0.3">
      <c r="N59" t="str">
        <f t="shared" si="0"/>
        <v/>
      </c>
      <c r="O59" t="str">
        <f t="shared" si="1"/>
        <v/>
      </c>
    </row>
    <row r="60" spans="14:15" ht="33.6" customHeight="1" x14ac:dyDescent="0.3">
      <c r="N60" t="str">
        <f t="shared" si="0"/>
        <v/>
      </c>
      <c r="O60" t="str">
        <f t="shared" si="1"/>
        <v/>
      </c>
    </row>
    <row r="61" spans="14:15" ht="33.6" customHeight="1" x14ac:dyDescent="0.3">
      <c r="N61" t="str">
        <f t="shared" si="0"/>
        <v/>
      </c>
      <c r="O61" t="str">
        <f t="shared" si="1"/>
        <v/>
      </c>
    </row>
    <row r="62" spans="14:15" ht="33.6" customHeight="1" x14ac:dyDescent="0.3">
      <c r="N62" t="str">
        <f t="shared" si="0"/>
        <v/>
      </c>
      <c r="O62" t="str">
        <f t="shared" si="1"/>
        <v/>
      </c>
    </row>
    <row r="63" spans="14:15" ht="33.6" customHeight="1" x14ac:dyDescent="0.3">
      <c r="N63" t="str">
        <f t="shared" si="0"/>
        <v/>
      </c>
      <c r="O63" t="str">
        <f t="shared" si="1"/>
        <v/>
      </c>
    </row>
    <row r="64" spans="14:15" ht="33.6" customHeight="1" x14ac:dyDescent="0.3">
      <c r="N64" t="str">
        <f t="shared" si="0"/>
        <v/>
      </c>
      <c r="O64" t="str">
        <f t="shared" si="1"/>
        <v/>
      </c>
    </row>
    <row r="65" spans="14:15" ht="33.6" customHeight="1" x14ac:dyDescent="0.3">
      <c r="N65" t="str">
        <f t="shared" si="0"/>
        <v/>
      </c>
      <c r="O65" t="str">
        <f t="shared" si="1"/>
        <v/>
      </c>
    </row>
    <row r="66" spans="14:15" ht="33.6" customHeight="1" x14ac:dyDescent="0.3">
      <c r="N66" t="str">
        <f t="shared" si="0"/>
        <v/>
      </c>
      <c r="O66" t="str">
        <f t="shared" si="1"/>
        <v/>
      </c>
    </row>
    <row r="67" spans="14:15" ht="33.6" customHeight="1" x14ac:dyDescent="0.3">
      <c r="N67" t="str">
        <f t="shared" si="0"/>
        <v/>
      </c>
      <c r="O67" t="str">
        <f t="shared" si="1"/>
        <v/>
      </c>
    </row>
    <row r="68" spans="14:15" ht="33.6" customHeight="1" x14ac:dyDescent="0.3">
      <c r="N68" t="str">
        <f t="shared" ref="N68:N131" si="2">IF(COUNT(D68:M68)=0,"",SUM(D68:M68))</f>
        <v/>
      </c>
      <c r="O68" t="str">
        <f t="shared" ref="O68:O131" si="3">IF(N68="","",IF(N68&gt;=16,"Alta calidad",IF(N68&gt;=11,"Media calidad","Baja calidad")))</f>
        <v/>
      </c>
    </row>
    <row r="69" spans="14:15" ht="33.6" customHeight="1" x14ac:dyDescent="0.3">
      <c r="N69" t="str">
        <f t="shared" si="2"/>
        <v/>
      </c>
      <c r="O69" t="str">
        <f t="shared" si="3"/>
        <v/>
      </c>
    </row>
    <row r="70" spans="14:15" ht="33.6" customHeight="1" x14ac:dyDescent="0.3">
      <c r="N70" t="str">
        <f t="shared" si="2"/>
        <v/>
      </c>
      <c r="O70" t="str">
        <f t="shared" si="3"/>
        <v/>
      </c>
    </row>
    <row r="71" spans="14:15" ht="33.6" customHeight="1" x14ac:dyDescent="0.3">
      <c r="N71" t="str">
        <f t="shared" si="2"/>
        <v/>
      </c>
      <c r="O71" t="str">
        <f t="shared" si="3"/>
        <v/>
      </c>
    </row>
    <row r="72" spans="14:15" ht="33.6" customHeight="1" x14ac:dyDescent="0.3">
      <c r="N72" t="str">
        <f t="shared" si="2"/>
        <v/>
      </c>
      <c r="O72" t="str">
        <f t="shared" si="3"/>
        <v/>
      </c>
    </row>
    <row r="73" spans="14:15" ht="33.6" customHeight="1" x14ac:dyDescent="0.3">
      <c r="N73" t="str">
        <f t="shared" si="2"/>
        <v/>
      </c>
      <c r="O73" t="str">
        <f t="shared" si="3"/>
        <v/>
      </c>
    </row>
    <row r="74" spans="14:15" ht="33.6" customHeight="1" x14ac:dyDescent="0.3">
      <c r="N74" t="str">
        <f t="shared" si="2"/>
        <v/>
      </c>
      <c r="O74" t="str">
        <f t="shared" si="3"/>
        <v/>
      </c>
    </row>
    <row r="75" spans="14:15" ht="33.6" customHeight="1" x14ac:dyDescent="0.3">
      <c r="N75" t="str">
        <f t="shared" si="2"/>
        <v/>
      </c>
      <c r="O75" t="str">
        <f t="shared" si="3"/>
        <v/>
      </c>
    </row>
    <row r="76" spans="14:15" ht="33.6" customHeight="1" x14ac:dyDescent="0.3">
      <c r="N76" t="str">
        <f t="shared" si="2"/>
        <v/>
      </c>
      <c r="O76" t="str">
        <f t="shared" si="3"/>
        <v/>
      </c>
    </row>
    <row r="77" spans="14:15" ht="33.6" customHeight="1" x14ac:dyDescent="0.3">
      <c r="N77" t="str">
        <f t="shared" si="2"/>
        <v/>
      </c>
      <c r="O77" t="str">
        <f t="shared" si="3"/>
        <v/>
      </c>
    </row>
    <row r="78" spans="14:15" ht="33.6" customHeight="1" x14ac:dyDescent="0.3">
      <c r="N78" t="str">
        <f t="shared" si="2"/>
        <v/>
      </c>
      <c r="O78" t="str">
        <f t="shared" si="3"/>
        <v/>
      </c>
    </row>
    <row r="79" spans="14:15" ht="33.6" customHeight="1" x14ac:dyDescent="0.3">
      <c r="N79" t="str">
        <f t="shared" si="2"/>
        <v/>
      </c>
      <c r="O79" t="str">
        <f t="shared" si="3"/>
        <v/>
      </c>
    </row>
    <row r="80" spans="14:15" ht="33.6" customHeight="1" x14ac:dyDescent="0.3">
      <c r="N80" t="str">
        <f t="shared" si="2"/>
        <v/>
      </c>
      <c r="O80" t="str">
        <f t="shared" si="3"/>
        <v/>
      </c>
    </row>
    <row r="81" spans="14:15" ht="33.6" customHeight="1" x14ac:dyDescent="0.3">
      <c r="N81" t="str">
        <f t="shared" si="2"/>
        <v/>
      </c>
      <c r="O81" t="str">
        <f t="shared" si="3"/>
        <v/>
      </c>
    </row>
    <row r="82" spans="14:15" ht="33.6" customHeight="1" x14ac:dyDescent="0.3">
      <c r="N82" t="str">
        <f t="shared" si="2"/>
        <v/>
      </c>
      <c r="O82" t="str">
        <f t="shared" si="3"/>
        <v/>
      </c>
    </row>
    <row r="83" spans="14:15" ht="33.6" customHeight="1" x14ac:dyDescent="0.3">
      <c r="N83" t="str">
        <f t="shared" si="2"/>
        <v/>
      </c>
      <c r="O83" t="str">
        <f t="shared" si="3"/>
        <v/>
      </c>
    </row>
    <row r="84" spans="14:15" ht="33.6" customHeight="1" x14ac:dyDescent="0.3">
      <c r="N84" t="str">
        <f t="shared" si="2"/>
        <v/>
      </c>
      <c r="O84" t="str">
        <f t="shared" si="3"/>
        <v/>
      </c>
    </row>
    <row r="85" spans="14:15" ht="33.6" customHeight="1" x14ac:dyDescent="0.3">
      <c r="N85" t="str">
        <f t="shared" si="2"/>
        <v/>
      </c>
      <c r="O85" t="str">
        <f t="shared" si="3"/>
        <v/>
      </c>
    </row>
    <row r="86" spans="14:15" ht="33.6" customHeight="1" x14ac:dyDescent="0.3">
      <c r="N86" t="str">
        <f t="shared" si="2"/>
        <v/>
      </c>
      <c r="O86" t="str">
        <f t="shared" si="3"/>
        <v/>
      </c>
    </row>
    <row r="87" spans="14:15" ht="33.6" customHeight="1" x14ac:dyDescent="0.3">
      <c r="N87" t="str">
        <f t="shared" si="2"/>
        <v/>
      </c>
      <c r="O87" t="str">
        <f t="shared" si="3"/>
        <v/>
      </c>
    </row>
    <row r="88" spans="14:15" ht="33.6" customHeight="1" x14ac:dyDescent="0.3">
      <c r="N88" t="str">
        <f t="shared" si="2"/>
        <v/>
      </c>
      <c r="O88" t="str">
        <f t="shared" si="3"/>
        <v/>
      </c>
    </row>
    <row r="89" spans="14:15" ht="33.6" customHeight="1" x14ac:dyDescent="0.3">
      <c r="N89" t="str">
        <f t="shared" si="2"/>
        <v/>
      </c>
      <c r="O89" t="str">
        <f t="shared" si="3"/>
        <v/>
      </c>
    </row>
    <row r="90" spans="14:15" ht="33.6" customHeight="1" x14ac:dyDescent="0.3">
      <c r="N90" t="str">
        <f t="shared" si="2"/>
        <v/>
      </c>
      <c r="O90" t="str">
        <f t="shared" si="3"/>
        <v/>
      </c>
    </row>
    <row r="91" spans="14:15" ht="33.6" customHeight="1" x14ac:dyDescent="0.3">
      <c r="N91" t="str">
        <f t="shared" si="2"/>
        <v/>
      </c>
      <c r="O91" t="str">
        <f t="shared" si="3"/>
        <v/>
      </c>
    </row>
    <row r="92" spans="14:15" ht="33.6" customHeight="1" x14ac:dyDescent="0.3">
      <c r="N92" t="str">
        <f t="shared" si="2"/>
        <v/>
      </c>
      <c r="O92" t="str">
        <f t="shared" si="3"/>
        <v/>
      </c>
    </row>
    <row r="93" spans="14:15" ht="33.6" customHeight="1" x14ac:dyDescent="0.3">
      <c r="N93" t="str">
        <f t="shared" si="2"/>
        <v/>
      </c>
      <c r="O93" t="str">
        <f t="shared" si="3"/>
        <v/>
      </c>
    </row>
    <row r="94" spans="14:15" ht="33.6" customHeight="1" x14ac:dyDescent="0.3">
      <c r="N94" t="str">
        <f t="shared" si="2"/>
        <v/>
      </c>
      <c r="O94" t="str">
        <f t="shared" si="3"/>
        <v/>
      </c>
    </row>
    <row r="95" spans="14:15" ht="33.6" customHeight="1" x14ac:dyDescent="0.3">
      <c r="N95" t="str">
        <f t="shared" si="2"/>
        <v/>
      </c>
      <c r="O95" t="str">
        <f t="shared" si="3"/>
        <v/>
      </c>
    </row>
    <row r="96" spans="14:15" ht="33.6" customHeight="1" x14ac:dyDescent="0.3">
      <c r="N96" t="str">
        <f t="shared" si="2"/>
        <v/>
      </c>
      <c r="O96" t="str">
        <f t="shared" si="3"/>
        <v/>
      </c>
    </row>
    <row r="97" spans="14:15" ht="33.6" customHeight="1" x14ac:dyDescent="0.3">
      <c r="N97" t="str">
        <f t="shared" si="2"/>
        <v/>
      </c>
      <c r="O97" t="str">
        <f t="shared" si="3"/>
        <v/>
      </c>
    </row>
    <row r="98" spans="14:15" ht="33.6" customHeight="1" x14ac:dyDescent="0.3">
      <c r="N98" t="str">
        <f t="shared" si="2"/>
        <v/>
      </c>
      <c r="O98" t="str">
        <f t="shared" si="3"/>
        <v/>
      </c>
    </row>
    <row r="99" spans="14:15" ht="33.6" customHeight="1" x14ac:dyDescent="0.3">
      <c r="N99" t="str">
        <f t="shared" si="2"/>
        <v/>
      </c>
      <c r="O99" t="str">
        <f t="shared" si="3"/>
        <v/>
      </c>
    </row>
    <row r="100" spans="14:15" ht="33.6" customHeight="1" x14ac:dyDescent="0.3">
      <c r="N100" t="str">
        <f t="shared" si="2"/>
        <v/>
      </c>
      <c r="O100" t="str">
        <f t="shared" si="3"/>
        <v/>
      </c>
    </row>
    <row r="101" spans="14:15" ht="33.6" customHeight="1" x14ac:dyDescent="0.3">
      <c r="N101" t="str">
        <f t="shared" si="2"/>
        <v/>
      </c>
      <c r="O101" t="str">
        <f t="shared" si="3"/>
        <v/>
      </c>
    </row>
    <row r="102" spans="14:15" ht="33.6" customHeight="1" x14ac:dyDescent="0.3">
      <c r="N102" t="str">
        <f t="shared" si="2"/>
        <v/>
      </c>
      <c r="O102" t="str">
        <f t="shared" si="3"/>
        <v/>
      </c>
    </row>
    <row r="103" spans="14:15" ht="33.6" customHeight="1" x14ac:dyDescent="0.3">
      <c r="N103" t="str">
        <f t="shared" si="2"/>
        <v/>
      </c>
      <c r="O103" t="str">
        <f t="shared" si="3"/>
        <v/>
      </c>
    </row>
    <row r="104" spans="14:15" ht="33.6" customHeight="1" x14ac:dyDescent="0.3">
      <c r="N104" t="str">
        <f t="shared" si="2"/>
        <v/>
      </c>
      <c r="O104" t="str">
        <f t="shared" si="3"/>
        <v/>
      </c>
    </row>
    <row r="105" spans="14:15" ht="33.6" customHeight="1" x14ac:dyDescent="0.3">
      <c r="N105" t="str">
        <f t="shared" si="2"/>
        <v/>
      </c>
      <c r="O105" t="str">
        <f t="shared" si="3"/>
        <v/>
      </c>
    </row>
    <row r="106" spans="14:15" ht="33.6" customHeight="1" x14ac:dyDescent="0.3">
      <c r="N106" t="str">
        <f t="shared" si="2"/>
        <v/>
      </c>
      <c r="O106" t="str">
        <f t="shared" si="3"/>
        <v/>
      </c>
    </row>
    <row r="107" spans="14:15" ht="33.6" customHeight="1" x14ac:dyDescent="0.3">
      <c r="N107" t="str">
        <f t="shared" si="2"/>
        <v/>
      </c>
      <c r="O107" t="str">
        <f t="shared" si="3"/>
        <v/>
      </c>
    </row>
    <row r="108" spans="14:15" ht="33.6" customHeight="1" x14ac:dyDescent="0.3">
      <c r="N108" t="str">
        <f t="shared" si="2"/>
        <v/>
      </c>
      <c r="O108" t="str">
        <f t="shared" si="3"/>
        <v/>
      </c>
    </row>
    <row r="109" spans="14:15" ht="33.6" customHeight="1" x14ac:dyDescent="0.3">
      <c r="N109" t="str">
        <f t="shared" si="2"/>
        <v/>
      </c>
      <c r="O109" t="str">
        <f t="shared" si="3"/>
        <v/>
      </c>
    </row>
    <row r="110" spans="14:15" ht="33.6" customHeight="1" x14ac:dyDescent="0.3">
      <c r="N110" t="str">
        <f t="shared" si="2"/>
        <v/>
      </c>
      <c r="O110" t="str">
        <f t="shared" si="3"/>
        <v/>
      </c>
    </row>
    <row r="111" spans="14:15" ht="33.6" customHeight="1" x14ac:dyDescent="0.3">
      <c r="N111" t="str">
        <f t="shared" si="2"/>
        <v/>
      </c>
      <c r="O111" t="str">
        <f t="shared" si="3"/>
        <v/>
      </c>
    </row>
    <row r="112" spans="14:15" ht="33.6" customHeight="1" x14ac:dyDescent="0.3">
      <c r="N112" t="str">
        <f t="shared" si="2"/>
        <v/>
      </c>
      <c r="O112" t="str">
        <f t="shared" si="3"/>
        <v/>
      </c>
    </row>
    <row r="113" spans="14:15" ht="33.6" customHeight="1" x14ac:dyDescent="0.3">
      <c r="N113" t="str">
        <f t="shared" si="2"/>
        <v/>
      </c>
      <c r="O113" t="str">
        <f t="shared" si="3"/>
        <v/>
      </c>
    </row>
    <row r="114" spans="14:15" ht="33.6" customHeight="1" x14ac:dyDescent="0.3">
      <c r="N114" t="str">
        <f t="shared" si="2"/>
        <v/>
      </c>
      <c r="O114" t="str">
        <f t="shared" si="3"/>
        <v/>
      </c>
    </row>
    <row r="115" spans="14:15" ht="33.6" customHeight="1" x14ac:dyDescent="0.3">
      <c r="N115" t="str">
        <f t="shared" si="2"/>
        <v/>
      </c>
      <c r="O115" t="str">
        <f t="shared" si="3"/>
        <v/>
      </c>
    </row>
    <row r="116" spans="14:15" ht="33.6" customHeight="1" x14ac:dyDescent="0.3">
      <c r="N116" t="str">
        <f t="shared" si="2"/>
        <v/>
      </c>
      <c r="O116" t="str">
        <f t="shared" si="3"/>
        <v/>
      </c>
    </row>
    <row r="117" spans="14:15" ht="33.6" customHeight="1" x14ac:dyDescent="0.3">
      <c r="N117" t="str">
        <f t="shared" si="2"/>
        <v/>
      </c>
      <c r="O117" t="str">
        <f t="shared" si="3"/>
        <v/>
      </c>
    </row>
    <row r="118" spans="14:15" ht="33.6" customHeight="1" x14ac:dyDescent="0.3">
      <c r="N118" t="str">
        <f t="shared" si="2"/>
        <v/>
      </c>
      <c r="O118" t="str">
        <f t="shared" si="3"/>
        <v/>
      </c>
    </row>
    <row r="119" spans="14:15" ht="33.6" customHeight="1" x14ac:dyDescent="0.3">
      <c r="N119" t="str">
        <f t="shared" si="2"/>
        <v/>
      </c>
      <c r="O119" t="str">
        <f t="shared" si="3"/>
        <v/>
      </c>
    </row>
    <row r="120" spans="14:15" ht="33.6" customHeight="1" x14ac:dyDescent="0.3">
      <c r="N120" t="str">
        <f t="shared" si="2"/>
        <v/>
      </c>
      <c r="O120" t="str">
        <f t="shared" si="3"/>
        <v/>
      </c>
    </row>
    <row r="121" spans="14:15" ht="33.6" customHeight="1" x14ac:dyDescent="0.3">
      <c r="N121" t="str">
        <f t="shared" si="2"/>
        <v/>
      </c>
      <c r="O121" t="str">
        <f t="shared" si="3"/>
        <v/>
      </c>
    </row>
    <row r="122" spans="14:15" ht="33.6" customHeight="1" x14ac:dyDescent="0.3">
      <c r="N122" t="str">
        <f t="shared" si="2"/>
        <v/>
      </c>
      <c r="O122" t="str">
        <f t="shared" si="3"/>
        <v/>
      </c>
    </row>
    <row r="123" spans="14:15" ht="33.6" customHeight="1" x14ac:dyDescent="0.3">
      <c r="N123" t="str">
        <f t="shared" si="2"/>
        <v/>
      </c>
      <c r="O123" t="str">
        <f t="shared" si="3"/>
        <v/>
      </c>
    </row>
    <row r="124" spans="14:15" ht="33.6" customHeight="1" x14ac:dyDescent="0.3">
      <c r="N124" t="str">
        <f t="shared" si="2"/>
        <v/>
      </c>
      <c r="O124" t="str">
        <f t="shared" si="3"/>
        <v/>
      </c>
    </row>
    <row r="125" spans="14:15" ht="33.6" customHeight="1" x14ac:dyDescent="0.3">
      <c r="N125" t="str">
        <f t="shared" si="2"/>
        <v/>
      </c>
      <c r="O125" t="str">
        <f t="shared" si="3"/>
        <v/>
      </c>
    </row>
    <row r="126" spans="14:15" ht="33.6" customHeight="1" x14ac:dyDescent="0.3">
      <c r="N126" t="str">
        <f t="shared" si="2"/>
        <v/>
      </c>
      <c r="O126" t="str">
        <f t="shared" si="3"/>
        <v/>
      </c>
    </row>
    <row r="127" spans="14:15" ht="33.6" customHeight="1" x14ac:dyDescent="0.3">
      <c r="N127" t="str">
        <f t="shared" si="2"/>
        <v/>
      </c>
      <c r="O127" t="str">
        <f t="shared" si="3"/>
        <v/>
      </c>
    </row>
    <row r="128" spans="14:15" ht="33.6" customHeight="1" x14ac:dyDescent="0.3">
      <c r="N128" t="str">
        <f t="shared" si="2"/>
        <v/>
      </c>
      <c r="O128" t="str">
        <f t="shared" si="3"/>
        <v/>
      </c>
    </row>
    <row r="129" spans="14:15" ht="33.6" customHeight="1" x14ac:dyDescent="0.3">
      <c r="N129" t="str">
        <f t="shared" si="2"/>
        <v/>
      </c>
      <c r="O129" t="str">
        <f t="shared" si="3"/>
        <v/>
      </c>
    </row>
    <row r="130" spans="14:15" ht="33.6" customHeight="1" x14ac:dyDescent="0.3">
      <c r="N130" t="str">
        <f t="shared" si="2"/>
        <v/>
      </c>
      <c r="O130" t="str">
        <f t="shared" si="3"/>
        <v/>
      </c>
    </row>
    <row r="131" spans="14:15" ht="33.6" customHeight="1" x14ac:dyDescent="0.3">
      <c r="N131" t="str">
        <f t="shared" si="2"/>
        <v/>
      </c>
      <c r="O131" t="str">
        <f t="shared" si="3"/>
        <v/>
      </c>
    </row>
    <row r="132" spans="14:15" ht="33.6" customHeight="1" x14ac:dyDescent="0.3">
      <c r="N132" t="str">
        <f t="shared" ref="N132:N195" si="4">IF(COUNT(D132:M132)=0,"",SUM(D132:M132))</f>
        <v/>
      </c>
      <c r="O132" t="str">
        <f t="shared" ref="O132:O195" si="5">IF(N132="","",IF(N132&gt;=16,"Alta calidad",IF(N132&gt;=11,"Media calidad","Baja calidad")))</f>
        <v/>
      </c>
    </row>
    <row r="133" spans="14:15" ht="33.6" customHeight="1" x14ac:dyDescent="0.3">
      <c r="N133" t="str">
        <f t="shared" si="4"/>
        <v/>
      </c>
      <c r="O133" t="str">
        <f t="shared" si="5"/>
        <v/>
      </c>
    </row>
    <row r="134" spans="14:15" ht="33.6" customHeight="1" x14ac:dyDescent="0.3">
      <c r="N134" t="str">
        <f t="shared" si="4"/>
        <v/>
      </c>
      <c r="O134" t="str">
        <f t="shared" si="5"/>
        <v/>
      </c>
    </row>
    <row r="135" spans="14:15" ht="33.6" customHeight="1" x14ac:dyDescent="0.3">
      <c r="N135" t="str">
        <f t="shared" si="4"/>
        <v/>
      </c>
      <c r="O135" t="str">
        <f t="shared" si="5"/>
        <v/>
      </c>
    </row>
    <row r="136" spans="14:15" ht="33.6" customHeight="1" x14ac:dyDescent="0.3">
      <c r="N136" t="str">
        <f t="shared" si="4"/>
        <v/>
      </c>
      <c r="O136" t="str">
        <f t="shared" si="5"/>
        <v/>
      </c>
    </row>
    <row r="137" spans="14:15" ht="33.6" customHeight="1" x14ac:dyDescent="0.3">
      <c r="N137" t="str">
        <f t="shared" si="4"/>
        <v/>
      </c>
      <c r="O137" t="str">
        <f t="shared" si="5"/>
        <v/>
      </c>
    </row>
    <row r="138" spans="14:15" ht="33.6" customHeight="1" x14ac:dyDescent="0.3">
      <c r="N138" t="str">
        <f t="shared" si="4"/>
        <v/>
      </c>
      <c r="O138" t="str">
        <f t="shared" si="5"/>
        <v/>
      </c>
    </row>
    <row r="139" spans="14:15" ht="33.6" customHeight="1" x14ac:dyDescent="0.3">
      <c r="N139" t="str">
        <f t="shared" si="4"/>
        <v/>
      </c>
      <c r="O139" t="str">
        <f t="shared" si="5"/>
        <v/>
      </c>
    </row>
    <row r="140" spans="14:15" ht="33.6" customHeight="1" x14ac:dyDescent="0.3">
      <c r="N140" t="str">
        <f t="shared" si="4"/>
        <v/>
      </c>
      <c r="O140" t="str">
        <f t="shared" si="5"/>
        <v/>
      </c>
    </row>
    <row r="141" spans="14:15" ht="33.6" customHeight="1" x14ac:dyDescent="0.3">
      <c r="N141" t="str">
        <f t="shared" si="4"/>
        <v/>
      </c>
      <c r="O141" t="str">
        <f t="shared" si="5"/>
        <v/>
      </c>
    </row>
    <row r="142" spans="14:15" ht="33.6" customHeight="1" x14ac:dyDescent="0.3">
      <c r="N142" t="str">
        <f t="shared" si="4"/>
        <v/>
      </c>
      <c r="O142" t="str">
        <f t="shared" si="5"/>
        <v/>
      </c>
    </row>
    <row r="143" spans="14:15" ht="33.6" customHeight="1" x14ac:dyDescent="0.3">
      <c r="N143" t="str">
        <f t="shared" si="4"/>
        <v/>
      </c>
      <c r="O143" t="str">
        <f t="shared" si="5"/>
        <v/>
      </c>
    </row>
    <row r="144" spans="14:15" ht="33.6" customHeight="1" x14ac:dyDescent="0.3">
      <c r="N144" t="str">
        <f t="shared" si="4"/>
        <v/>
      </c>
      <c r="O144" t="str">
        <f t="shared" si="5"/>
        <v/>
      </c>
    </row>
    <row r="145" spans="14:15" ht="33.6" customHeight="1" x14ac:dyDescent="0.3">
      <c r="N145" t="str">
        <f t="shared" si="4"/>
        <v/>
      </c>
      <c r="O145" t="str">
        <f t="shared" si="5"/>
        <v/>
      </c>
    </row>
    <row r="146" spans="14:15" ht="33.6" customHeight="1" x14ac:dyDescent="0.3">
      <c r="N146" t="str">
        <f t="shared" si="4"/>
        <v/>
      </c>
      <c r="O146" t="str">
        <f t="shared" si="5"/>
        <v/>
      </c>
    </row>
    <row r="147" spans="14:15" ht="33.6" customHeight="1" x14ac:dyDescent="0.3">
      <c r="N147" t="str">
        <f t="shared" si="4"/>
        <v/>
      </c>
      <c r="O147" t="str">
        <f t="shared" si="5"/>
        <v/>
      </c>
    </row>
    <row r="148" spans="14:15" ht="33.6" customHeight="1" x14ac:dyDescent="0.3">
      <c r="N148" t="str">
        <f t="shared" si="4"/>
        <v/>
      </c>
      <c r="O148" t="str">
        <f t="shared" si="5"/>
        <v/>
      </c>
    </row>
    <row r="149" spans="14:15" ht="33.6" customHeight="1" x14ac:dyDescent="0.3">
      <c r="N149" t="str">
        <f t="shared" si="4"/>
        <v/>
      </c>
      <c r="O149" t="str">
        <f t="shared" si="5"/>
        <v/>
      </c>
    </row>
    <row r="150" spans="14:15" ht="33.6" customHeight="1" x14ac:dyDescent="0.3">
      <c r="N150" t="str">
        <f t="shared" si="4"/>
        <v/>
      </c>
      <c r="O150" t="str">
        <f t="shared" si="5"/>
        <v/>
      </c>
    </row>
    <row r="151" spans="14:15" ht="33.6" customHeight="1" x14ac:dyDescent="0.3">
      <c r="N151" t="str">
        <f t="shared" si="4"/>
        <v/>
      </c>
      <c r="O151" t="str">
        <f t="shared" si="5"/>
        <v/>
      </c>
    </row>
    <row r="152" spans="14:15" ht="33.6" customHeight="1" x14ac:dyDescent="0.3">
      <c r="N152" t="str">
        <f t="shared" si="4"/>
        <v/>
      </c>
      <c r="O152" t="str">
        <f t="shared" si="5"/>
        <v/>
      </c>
    </row>
    <row r="153" spans="14:15" ht="33.6" customHeight="1" x14ac:dyDescent="0.3">
      <c r="N153" t="str">
        <f t="shared" si="4"/>
        <v/>
      </c>
      <c r="O153" t="str">
        <f t="shared" si="5"/>
        <v/>
      </c>
    </row>
    <row r="154" spans="14:15" ht="33.6" customHeight="1" x14ac:dyDescent="0.3">
      <c r="N154" t="str">
        <f t="shared" si="4"/>
        <v/>
      </c>
      <c r="O154" t="str">
        <f t="shared" si="5"/>
        <v/>
      </c>
    </row>
    <row r="155" spans="14:15" ht="33.6" customHeight="1" x14ac:dyDescent="0.3">
      <c r="N155" t="str">
        <f t="shared" si="4"/>
        <v/>
      </c>
      <c r="O155" t="str">
        <f t="shared" si="5"/>
        <v/>
      </c>
    </row>
    <row r="156" spans="14:15" ht="33.6" customHeight="1" x14ac:dyDescent="0.3">
      <c r="N156" t="str">
        <f t="shared" si="4"/>
        <v/>
      </c>
      <c r="O156" t="str">
        <f t="shared" si="5"/>
        <v/>
      </c>
    </row>
    <row r="157" spans="14:15" ht="33.6" customHeight="1" x14ac:dyDescent="0.3">
      <c r="N157" t="str">
        <f t="shared" si="4"/>
        <v/>
      </c>
      <c r="O157" t="str">
        <f t="shared" si="5"/>
        <v/>
      </c>
    </row>
    <row r="158" spans="14:15" ht="33.6" customHeight="1" x14ac:dyDescent="0.3">
      <c r="N158" t="str">
        <f t="shared" si="4"/>
        <v/>
      </c>
      <c r="O158" t="str">
        <f t="shared" si="5"/>
        <v/>
      </c>
    </row>
    <row r="159" spans="14:15" ht="33.6" customHeight="1" x14ac:dyDescent="0.3">
      <c r="N159" t="str">
        <f t="shared" si="4"/>
        <v/>
      </c>
      <c r="O159" t="str">
        <f t="shared" si="5"/>
        <v/>
      </c>
    </row>
    <row r="160" spans="14:15" ht="33.6" customHeight="1" x14ac:dyDescent="0.3">
      <c r="N160" t="str">
        <f t="shared" si="4"/>
        <v/>
      </c>
      <c r="O160" t="str">
        <f t="shared" si="5"/>
        <v/>
      </c>
    </row>
    <row r="161" spans="14:15" ht="33.6" customHeight="1" x14ac:dyDescent="0.3">
      <c r="N161" t="str">
        <f t="shared" si="4"/>
        <v/>
      </c>
      <c r="O161" t="str">
        <f t="shared" si="5"/>
        <v/>
      </c>
    </row>
    <row r="162" spans="14:15" ht="33.6" customHeight="1" x14ac:dyDescent="0.3">
      <c r="N162" t="str">
        <f t="shared" si="4"/>
        <v/>
      </c>
      <c r="O162" t="str">
        <f t="shared" si="5"/>
        <v/>
      </c>
    </row>
    <row r="163" spans="14:15" ht="33.6" customHeight="1" x14ac:dyDescent="0.3">
      <c r="N163" t="str">
        <f t="shared" si="4"/>
        <v/>
      </c>
      <c r="O163" t="str">
        <f t="shared" si="5"/>
        <v/>
      </c>
    </row>
    <row r="164" spans="14:15" ht="33.6" customHeight="1" x14ac:dyDescent="0.3">
      <c r="N164" t="str">
        <f t="shared" si="4"/>
        <v/>
      </c>
      <c r="O164" t="str">
        <f t="shared" si="5"/>
        <v/>
      </c>
    </row>
    <row r="165" spans="14:15" ht="33.6" customHeight="1" x14ac:dyDescent="0.3">
      <c r="N165" t="str">
        <f t="shared" si="4"/>
        <v/>
      </c>
      <c r="O165" t="str">
        <f t="shared" si="5"/>
        <v/>
      </c>
    </row>
    <row r="166" spans="14:15" ht="33.6" customHeight="1" x14ac:dyDescent="0.3">
      <c r="N166" t="str">
        <f t="shared" si="4"/>
        <v/>
      </c>
      <c r="O166" t="str">
        <f t="shared" si="5"/>
        <v/>
      </c>
    </row>
    <row r="167" spans="14:15" ht="33.6" customHeight="1" x14ac:dyDescent="0.3">
      <c r="N167" t="str">
        <f t="shared" si="4"/>
        <v/>
      </c>
      <c r="O167" t="str">
        <f t="shared" si="5"/>
        <v/>
      </c>
    </row>
    <row r="168" spans="14:15" ht="33.6" customHeight="1" x14ac:dyDescent="0.3">
      <c r="N168" t="str">
        <f t="shared" si="4"/>
        <v/>
      </c>
      <c r="O168" t="str">
        <f t="shared" si="5"/>
        <v/>
      </c>
    </row>
    <row r="169" spans="14:15" ht="33.6" customHeight="1" x14ac:dyDescent="0.3">
      <c r="N169" t="str">
        <f t="shared" si="4"/>
        <v/>
      </c>
      <c r="O169" t="str">
        <f t="shared" si="5"/>
        <v/>
      </c>
    </row>
    <row r="170" spans="14:15" ht="33.6" customHeight="1" x14ac:dyDescent="0.3">
      <c r="N170" t="str">
        <f t="shared" si="4"/>
        <v/>
      </c>
      <c r="O170" t="str">
        <f t="shared" si="5"/>
        <v/>
      </c>
    </row>
    <row r="171" spans="14:15" ht="33.6" customHeight="1" x14ac:dyDescent="0.3">
      <c r="N171" t="str">
        <f t="shared" si="4"/>
        <v/>
      </c>
      <c r="O171" t="str">
        <f t="shared" si="5"/>
        <v/>
      </c>
    </row>
    <row r="172" spans="14:15" ht="33.6" customHeight="1" x14ac:dyDescent="0.3">
      <c r="N172" t="str">
        <f t="shared" si="4"/>
        <v/>
      </c>
      <c r="O172" t="str">
        <f t="shared" si="5"/>
        <v/>
      </c>
    </row>
    <row r="173" spans="14:15" ht="33.6" customHeight="1" x14ac:dyDescent="0.3">
      <c r="N173" t="str">
        <f t="shared" si="4"/>
        <v/>
      </c>
      <c r="O173" t="str">
        <f t="shared" si="5"/>
        <v/>
      </c>
    </row>
    <row r="174" spans="14:15" ht="33.6" customHeight="1" x14ac:dyDescent="0.3">
      <c r="N174" t="str">
        <f t="shared" si="4"/>
        <v/>
      </c>
      <c r="O174" t="str">
        <f t="shared" si="5"/>
        <v/>
      </c>
    </row>
    <row r="175" spans="14:15" ht="33.6" customHeight="1" x14ac:dyDescent="0.3">
      <c r="N175" t="str">
        <f t="shared" si="4"/>
        <v/>
      </c>
      <c r="O175" t="str">
        <f t="shared" si="5"/>
        <v/>
      </c>
    </row>
    <row r="176" spans="14:15" ht="33.6" customHeight="1" x14ac:dyDescent="0.3">
      <c r="N176" t="str">
        <f t="shared" si="4"/>
        <v/>
      </c>
      <c r="O176" t="str">
        <f t="shared" si="5"/>
        <v/>
      </c>
    </row>
    <row r="177" spans="14:15" ht="33.6" customHeight="1" x14ac:dyDescent="0.3">
      <c r="N177" t="str">
        <f t="shared" si="4"/>
        <v/>
      </c>
      <c r="O177" t="str">
        <f t="shared" si="5"/>
        <v/>
      </c>
    </row>
    <row r="178" spans="14:15" ht="33.6" customHeight="1" x14ac:dyDescent="0.3">
      <c r="N178" t="str">
        <f t="shared" si="4"/>
        <v/>
      </c>
      <c r="O178" t="str">
        <f t="shared" si="5"/>
        <v/>
      </c>
    </row>
    <row r="179" spans="14:15" ht="33.6" customHeight="1" x14ac:dyDescent="0.3">
      <c r="N179" t="str">
        <f t="shared" si="4"/>
        <v/>
      </c>
      <c r="O179" t="str">
        <f t="shared" si="5"/>
        <v/>
      </c>
    </row>
    <row r="180" spans="14:15" ht="33.6" customHeight="1" x14ac:dyDescent="0.3">
      <c r="N180" t="str">
        <f t="shared" si="4"/>
        <v/>
      </c>
      <c r="O180" t="str">
        <f t="shared" si="5"/>
        <v/>
      </c>
    </row>
    <row r="181" spans="14:15" ht="33.6" customHeight="1" x14ac:dyDescent="0.3">
      <c r="N181" t="str">
        <f t="shared" si="4"/>
        <v/>
      </c>
      <c r="O181" t="str">
        <f t="shared" si="5"/>
        <v/>
      </c>
    </row>
    <row r="182" spans="14:15" ht="33.6" customHeight="1" x14ac:dyDescent="0.3">
      <c r="N182" t="str">
        <f t="shared" si="4"/>
        <v/>
      </c>
      <c r="O182" t="str">
        <f t="shared" si="5"/>
        <v/>
      </c>
    </row>
    <row r="183" spans="14:15" ht="33.6" customHeight="1" x14ac:dyDescent="0.3">
      <c r="N183" t="str">
        <f t="shared" si="4"/>
        <v/>
      </c>
      <c r="O183" t="str">
        <f t="shared" si="5"/>
        <v/>
      </c>
    </row>
    <row r="184" spans="14:15" ht="33.6" customHeight="1" x14ac:dyDescent="0.3">
      <c r="N184" t="str">
        <f t="shared" si="4"/>
        <v/>
      </c>
      <c r="O184" t="str">
        <f t="shared" si="5"/>
        <v/>
      </c>
    </row>
    <row r="185" spans="14:15" ht="33.6" customHeight="1" x14ac:dyDescent="0.3">
      <c r="N185" t="str">
        <f t="shared" si="4"/>
        <v/>
      </c>
      <c r="O185" t="str">
        <f t="shared" si="5"/>
        <v/>
      </c>
    </row>
    <row r="186" spans="14:15" ht="33.6" customHeight="1" x14ac:dyDescent="0.3">
      <c r="N186" t="str">
        <f t="shared" si="4"/>
        <v/>
      </c>
      <c r="O186" t="str">
        <f t="shared" si="5"/>
        <v/>
      </c>
    </row>
    <row r="187" spans="14:15" ht="33.6" customHeight="1" x14ac:dyDescent="0.3">
      <c r="N187" t="str">
        <f t="shared" si="4"/>
        <v/>
      </c>
      <c r="O187" t="str">
        <f t="shared" si="5"/>
        <v/>
      </c>
    </row>
    <row r="188" spans="14:15" ht="33.6" customHeight="1" x14ac:dyDescent="0.3">
      <c r="N188" t="str">
        <f t="shared" si="4"/>
        <v/>
      </c>
      <c r="O188" t="str">
        <f t="shared" si="5"/>
        <v/>
      </c>
    </row>
    <row r="189" spans="14:15" ht="33.6" customHeight="1" x14ac:dyDescent="0.3">
      <c r="N189" t="str">
        <f t="shared" si="4"/>
        <v/>
      </c>
      <c r="O189" t="str">
        <f t="shared" si="5"/>
        <v/>
      </c>
    </row>
    <row r="190" spans="14:15" ht="33.6" customHeight="1" x14ac:dyDescent="0.3">
      <c r="N190" t="str">
        <f t="shared" si="4"/>
        <v/>
      </c>
      <c r="O190" t="str">
        <f t="shared" si="5"/>
        <v/>
      </c>
    </row>
    <row r="191" spans="14:15" ht="33.6" customHeight="1" x14ac:dyDescent="0.3">
      <c r="N191" t="str">
        <f t="shared" si="4"/>
        <v/>
      </c>
      <c r="O191" t="str">
        <f t="shared" si="5"/>
        <v/>
      </c>
    </row>
    <row r="192" spans="14:15" ht="33.6" customHeight="1" x14ac:dyDescent="0.3">
      <c r="N192" t="str">
        <f t="shared" si="4"/>
        <v/>
      </c>
      <c r="O192" t="str">
        <f t="shared" si="5"/>
        <v/>
      </c>
    </row>
    <row r="193" spans="14:15" ht="33.6" customHeight="1" x14ac:dyDescent="0.3">
      <c r="N193" t="str">
        <f t="shared" si="4"/>
        <v/>
      </c>
      <c r="O193" t="str">
        <f t="shared" si="5"/>
        <v/>
      </c>
    </row>
    <row r="194" spans="14:15" ht="33.6" customHeight="1" x14ac:dyDescent="0.3">
      <c r="N194" t="str">
        <f t="shared" si="4"/>
        <v/>
      </c>
      <c r="O194" t="str">
        <f t="shared" si="5"/>
        <v/>
      </c>
    </row>
    <row r="195" spans="14:15" ht="33.6" customHeight="1" x14ac:dyDescent="0.3">
      <c r="N195" t="str">
        <f t="shared" si="4"/>
        <v/>
      </c>
      <c r="O195" t="str">
        <f t="shared" si="5"/>
        <v/>
      </c>
    </row>
    <row r="196" spans="14:15" ht="33.6" customHeight="1" x14ac:dyDescent="0.3">
      <c r="N196" t="str">
        <f t="shared" ref="N196:N259" si="6">IF(COUNT(D196:M196)=0,"",SUM(D196:M196))</f>
        <v/>
      </c>
      <c r="O196" t="str">
        <f t="shared" ref="O196:O259" si="7">IF(N196="","",IF(N196&gt;=16,"Alta calidad",IF(N196&gt;=11,"Media calidad","Baja calidad")))</f>
        <v/>
      </c>
    </row>
    <row r="197" spans="14:15" ht="33.6" customHeight="1" x14ac:dyDescent="0.3">
      <c r="N197" t="str">
        <f t="shared" si="6"/>
        <v/>
      </c>
      <c r="O197" t="str">
        <f t="shared" si="7"/>
        <v/>
      </c>
    </row>
    <row r="198" spans="14:15" ht="33.6" customHeight="1" x14ac:dyDescent="0.3">
      <c r="N198" t="str">
        <f t="shared" si="6"/>
        <v/>
      </c>
      <c r="O198" t="str">
        <f t="shared" si="7"/>
        <v/>
      </c>
    </row>
    <row r="199" spans="14:15" ht="33.6" customHeight="1" x14ac:dyDescent="0.3">
      <c r="N199" t="str">
        <f t="shared" si="6"/>
        <v/>
      </c>
      <c r="O199" t="str">
        <f t="shared" si="7"/>
        <v/>
      </c>
    </row>
    <row r="200" spans="14:15" ht="33.6" customHeight="1" x14ac:dyDescent="0.3">
      <c r="N200" t="str">
        <f t="shared" si="6"/>
        <v/>
      </c>
      <c r="O200" t="str">
        <f t="shared" si="7"/>
        <v/>
      </c>
    </row>
    <row r="201" spans="14:15" ht="33.6" customHeight="1" x14ac:dyDescent="0.3">
      <c r="N201" t="str">
        <f t="shared" si="6"/>
        <v/>
      </c>
      <c r="O201" t="str">
        <f t="shared" si="7"/>
        <v/>
      </c>
    </row>
    <row r="202" spans="14:15" x14ac:dyDescent="0.3">
      <c r="N202" t="str">
        <f t="shared" si="6"/>
        <v/>
      </c>
      <c r="O202" t="str">
        <f t="shared" si="7"/>
        <v/>
      </c>
    </row>
    <row r="203" spans="14:15" x14ac:dyDescent="0.3">
      <c r="N203" t="str">
        <f t="shared" si="6"/>
        <v/>
      </c>
      <c r="O203" t="str">
        <f t="shared" si="7"/>
        <v/>
      </c>
    </row>
    <row r="204" spans="14:15" x14ac:dyDescent="0.3">
      <c r="N204" t="str">
        <f t="shared" si="6"/>
        <v/>
      </c>
      <c r="O204" t="str">
        <f t="shared" si="7"/>
        <v/>
      </c>
    </row>
    <row r="205" spans="14:15" x14ac:dyDescent="0.3">
      <c r="N205" t="str">
        <f t="shared" si="6"/>
        <v/>
      </c>
      <c r="O205" t="str">
        <f t="shared" si="7"/>
        <v/>
      </c>
    </row>
    <row r="206" spans="14:15" x14ac:dyDescent="0.3">
      <c r="N206" t="str">
        <f t="shared" si="6"/>
        <v/>
      </c>
      <c r="O206" t="str">
        <f t="shared" si="7"/>
        <v/>
      </c>
    </row>
    <row r="207" spans="14:15" x14ac:dyDescent="0.3">
      <c r="N207" t="str">
        <f t="shared" si="6"/>
        <v/>
      </c>
      <c r="O207" t="str">
        <f t="shared" si="7"/>
        <v/>
      </c>
    </row>
    <row r="208" spans="14:15" x14ac:dyDescent="0.3">
      <c r="N208" t="str">
        <f t="shared" si="6"/>
        <v/>
      </c>
      <c r="O208" t="str">
        <f t="shared" si="7"/>
        <v/>
      </c>
    </row>
    <row r="209" spans="14:15" x14ac:dyDescent="0.3">
      <c r="N209" t="str">
        <f t="shared" si="6"/>
        <v/>
      </c>
      <c r="O209" t="str">
        <f t="shared" si="7"/>
        <v/>
      </c>
    </row>
    <row r="210" spans="14:15" x14ac:dyDescent="0.3">
      <c r="N210" t="str">
        <f t="shared" si="6"/>
        <v/>
      </c>
      <c r="O210" t="str">
        <f t="shared" si="7"/>
        <v/>
      </c>
    </row>
    <row r="211" spans="14:15" x14ac:dyDescent="0.3">
      <c r="N211" t="str">
        <f t="shared" si="6"/>
        <v/>
      </c>
      <c r="O211" t="str">
        <f t="shared" si="7"/>
        <v/>
      </c>
    </row>
    <row r="212" spans="14:15" x14ac:dyDescent="0.3">
      <c r="N212" t="str">
        <f t="shared" si="6"/>
        <v/>
      </c>
      <c r="O212" t="str">
        <f t="shared" si="7"/>
        <v/>
      </c>
    </row>
    <row r="213" spans="14:15" x14ac:dyDescent="0.3">
      <c r="N213" t="str">
        <f t="shared" si="6"/>
        <v/>
      </c>
      <c r="O213" t="str">
        <f t="shared" si="7"/>
        <v/>
      </c>
    </row>
    <row r="214" spans="14:15" x14ac:dyDescent="0.3">
      <c r="N214" t="str">
        <f t="shared" si="6"/>
        <v/>
      </c>
      <c r="O214" t="str">
        <f t="shared" si="7"/>
        <v/>
      </c>
    </row>
    <row r="215" spans="14:15" x14ac:dyDescent="0.3">
      <c r="N215" t="str">
        <f t="shared" si="6"/>
        <v/>
      </c>
      <c r="O215" t="str">
        <f t="shared" si="7"/>
        <v/>
      </c>
    </row>
    <row r="216" spans="14:15" x14ac:dyDescent="0.3">
      <c r="N216" t="str">
        <f t="shared" si="6"/>
        <v/>
      </c>
      <c r="O216" t="str">
        <f t="shared" si="7"/>
        <v/>
      </c>
    </row>
    <row r="217" spans="14:15" x14ac:dyDescent="0.3">
      <c r="N217" t="str">
        <f t="shared" si="6"/>
        <v/>
      </c>
      <c r="O217" t="str">
        <f t="shared" si="7"/>
        <v/>
      </c>
    </row>
    <row r="218" spans="14:15" x14ac:dyDescent="0.3">
      <c r="N218" t="str">
        <f t="shared" si="6"/>
        <v/>
      </c>
      <c r="O218" t="str">
        <f t="shared" si="7"/>
        <v/>
      </c>
    </row>
    <row r="219" spans="14:15" x14ac:dyDescent="0.3">
      <c r="N219" t="str">
        <f t="shared" si="6"/>
        <v/>
      </c>
      <c r="O219" t="str">
        <f t="shared" si="7"/>
        <v/>
      </c>
    </row>
    <row r="220" spans="14:15" x14ac:dyDescent="0.3">
      <c r="N220" t="str">
        <f t="shared" si="6"/>
        <v/>
      </c>
      <c r="O220" t="str">
        <f t="shared" si="7"/>
        <v/>
      </c>
    </row>
    <row r="221" spans="14:15" x14ac:dyDescent="0.3">
      <c r="N221" t="str">
        <f t="shared" si="6"/>
        <v/>
      </c>
      <c r="O221" t="str">
        <f t="shared" si="7"/>
        <v/>
      </c>
    </row>
    <row r="222" spans="14:15" x14ac:dyDescent="0.3">
      <c r="N222" t="str">
        <f t="shared" si="6"/>
        <v/>
      </c>
      <c r="O222" t="str">
        <f t="shared" si="7"/>
        <v/>
      </c>
    </row>
    <row r="223" spans="14:15" x14ac:dyDescent="0.3">
      <c r="N223" t="str">
        <f t="shared" si="6"/>
        <v/>
      </c>
      <c r="O223" t="str">
        <f t="shared" si="7"/>
        <v/>
      </c>
    </row>
    <row r="224" spans="14:15" x14ac:dyDescent="0.3">
      <c r="N224" t="str">
        <f t="shared" si="6"/>
        <v/>
      </c>
      <c r="O224" t="str">
        <f t="shared" si="7"/>
        <v/>
      </c>
    </row>
    <row r="225" spans="14:15" x14ac:dyDescent="0.3">
      <c r="N225" t="str">
        <f t="shared" si="6"/>
        <v/>
      </c>
      <c r="O225" t="str">
        <f t="shared" si="7"/>
        <v/>
      </c>
    </row>
    <row r="226" spans="14:15" x14ac:dyDescent="0.3">
      <c r="N226" t="str">
        <f t="shared" si="6"/>
        <v/>
      </c>
      <c r="O226" t="str">
        <f t="shared" si="7"/>
        <v/>
      </c>
    </row>
    <row r="227" spans="14:15" x14ac:dyDescent="0.3">
      <c r="N227" t="str">
        <f t="shared" si="6"/>
        <v/>
      </c>
      <c r="O227" t="str">
        <f t="shared" si="7"/>
        <v/>
      </c>
    </row>
    <row r="228" spans="14:15" x14ac:dyDescent="0.3">
      <c r="N228" t="str">
        <f t="shared" si="6"/>
        <v/>
      </c>
      <c r="O228" t="str">
        <f t="shared" si="7"/>
        <v/>
      </c>
    </row>
    <row r="229" spans="14:15" x14ac:dyDescent="0.3">
      <c r="N229" t="str">
        <f t="shared" si="6"/>
        <v/>
      </c>
      <c r="O229" t="str">
        <f t="shared" si="7"/>
        <v/>
      </c>
    </row>
    <row r="230" spans="14:15" x14ac:dyDescent="0.3">
      <c r="N230" t="str">
        <f t="shared" si="6"/>
        <v/>
      </c>
      <c r="O230" t="str">
        <f t="shared" si="7"/>
        <v/>
      </c>
    </row>
    <row r="231" spans="14:15" x14ac:dyDescent="0.3">
      <c r="N231" t="str">
        <f t="shared" si="6"/>
        <v/>
      </c>
      <c r="O231" t="str">
        <f t="shared" si="7"/>
        <v/>
      </c>
    </row>
    <row r="232" spans="14:15" x14ac:dyDescent="0.3">
      <c r="N232" t="str">
        <f t="shared" si="6"/>
        <v/>
      </c>
      <c r="O232" t="str">
        <f t="shared" si="7"/>
        <v/>
      </c>
    </row>
    <row r="233" spans="14:15" x14ac:dyDescent="0.3">
      <c r="N233" t="str">
        <f t="shared" si="6"/>
        <v/>
      </c>
      <c r="O233" t="str">
        <f t="shared" si="7"/>
        <v/>
      </c>
    </row>
    <row r="234" spans="14:15" x14ac:dyDescent="0.3">
      <c r="N234" t="str">
        <f t="shared" si="6"/>
        <v/>
      </c>
      <c r="O234" t="str">
        <f t="shared" si="7"/>
        <v/>
      </c>
    </row>
    <row r="235" spans="14:15" x14ac:dyDescent="0.3">
      <c r="N235" t="str">
        <f t="shared" si="6"/>
        <v/>
      </c>
      <c r="O235" t="str">
        <f t="shared" si="7"/>
        <v/>
      </c>
    </row>
    <row r="236" spans="14:15" x14ac:dyDescent="0.3">
      <c r="N236" t="str">
        <f t="shared" si="6"/>
        <v/>
      </c>
      <c r="O236" t="str">
        <f t="shared" si="7"/>
        <v/>
      </c>
    </row>
    <row r="237" spans="14:15" x14ac:dyDescent="0.3">
      <c r="N237" t="str">
        <f t="shared" si="6"/>
        <v/>
      </c>
      <c r="O237" t="str">
        <f t="shared" si="7"/>
        <v/>
      </c>
    </row>
    <row r="238" spans="14:15" x14ac:dyDescent="0.3">
      <c r="N238" t="str">
        <f t="shared" si="6"/>
        <v/>
      </c>
      <c r="O238" t="str">
        <f t="shared" si="7"/>
        <v/>
      </c>
    </row>
    <row r="239" spans="14:15" x14ac:dyDescent="0.3">
      <c r="N239" t="str">
        <f t="shared" si="6"/>
        <v/>
      </c>
      <c r="O239" t="str">
        <f t="shared" si="7"/>
        <v/>
      </c>
    </row>
    <row r="240" spans="14:15" x14ac:dyDescent="0.3">
      <c r="N240" t="str">
        <f t="shared" si="6"/>
        <v/>
      </c>
      <c r="O240" t="str">
        <f t="shared" si="7"/>
        <v/>
      </c>
    </row>
    <row r="241" spans="14:15" x14ac:dyDescent="0.3">
      <c r="N241" t="str">
        <f t="shared" si="6"/>
        <v/>
      </c>
      <c r="O241" t="str">
        <f t="shared" si="7"/>
        <v/>
      </c>
    </row>
    <row r="242" spans="14:15" x14ac:dyDescent="0.3">
      <c r="N242" t="str">
        <f t="shared" si="6"/>
        <v/>
      </c>
      <c r="O242" t="str">
        <f t="shared" si="7"/>
        <v/>
      </c>
    </row>
    <row r="243" spans="14:15" x14ac:dyDescent="0.3">
      <c r="N243" t="str">
        <f t="shared" si="6"/>
        <v/>
      </c>
      <c r="O243" t="str">
        <f t="shared" si="7"/>
        <v/>
      </c>
    </row>
    <row r="244" spans="14:15" x14ac:dyDescent="0.3">
      <c r="N244" t="str">
        <f t="shared" si="6"/>
        <v/>
      </c>
      <c r="O244" t="str">
        <f t="shared" si="7"/>
        <v/>
      </c>
    </row>
    <row r="245" spans="14:15" x14ac:dyDescent="0.3">
      <c r="N245" t="str">
        <f t="shared" si="6"/>
        <v/>
      </c>
      <c r="O245" t="str">
        <f t="shared" si="7"/>
        <v/>
      </c>
    </row>
    <row r="246" spans="14:15" x14ac:dyDescent="0.3">
      <c r="N246" t="str">
        <f t="shared" si="6"/>
        <v/>
      </c>
      <c r="O246" t="str">
        <f t="shared" si="7"/>
        <v/>
      </c>
    </row>
    <row r="247" spans="14:15" x14ac:dyDescent="0.3">
      <c r="N247" t="str">
        <f t="shared" si="6"/>
        <v/>
      </c>
      <c r="O247" t="str">
        <f t="shared" si="7"/>
        <v/>
      </c>
    </row>
    <row r="248" spans="14:15" x14ac:dyDescent="0.3">
      <c r="N248" t="str">
        <f t="shared" si="6"/>
        <v/>
      </c>
      <c r="O248" t="str">
        <f t="shared" si="7"/>
        <v/>
      </c>
    </row>
    <row r="249" spans="14:15" x14ac:dyDescent="0.3">
      <c r="N249" t="str">
        <f t="shared" si="6"/>
        <v/>
      </c>
      <c r="O249" t="str">
        <f t="shared" si="7"/>
        <v/>
      </c>
    </row>
    <row r="250" spans="14:15" x14ac:dyDescent="0.3">
      <c r="N250" t="str">
        <f t="shared" si="6"/>
        <v/>
      </c>
      <c r="O250" t="str">
        <f t="shared" si="7"/>
        <v/>
      </c>
    </row>
    <row r="251" spans="14:15" x14ac:dyDescent="0.3">
      <c r="N251" t="str">
        <f t="shared" si="6"/>
        <v/>
      </c>
      <c r="O251" t="str">
        <f t="shared" si="7"/>
        <v/>
      </c>
    </row>
    <row r="252" spans="14:15" x14ac:dyDescent="0.3">
      <c r="N252" t="str">
        <f t="shared" si="6"/>
        <v/>
      </c>
      <c r="O252" t="str">
        <f t="shared" si="7"/>
        <v/>
      </c>
    </row>
    <row r="253" spans="14:15" x14ac:dyDescent="0.3">
      <c r="N253" t="str">
        <f t="shared" si="6"/>
        <v/>
      </c>
      <c r="O253" t="str">
        <f t="shared" si="7"/>
        <v/>
      </c>
    </row>
    <row r="254" spans="14:15" x14ac:dyDescent="0.3">
      <c r="N254" t="str">
        <f t="shared" si="6"/>
        <v/>
      </c>
      <c r="O254" t="str">
        <f t="shared" si="7"/>
        <v/>
      </c>
    </row>
    <row r="255" spans="14:15" x14ac:dyDescent="0.3">
      <c r="N255" t="str">
        <f t="shared" si="6"/>
        <v/>
      </c>
      <c r="O255" t="str">
        <f t="shared" si="7"/>
        <v/>
      </c>
    </row>
    <row r="256" spans="14:15" x14ac:dyDescent="0.3">
      <c r="N256" t="str">
        <f t="shared" si="6"/>
        <v/>
      </c>
      <c r="O256" t="str">
        <f t="shared" si="7"/>
        <v/>
      </c>
    </row>
    <row r="257" spans="14:15" x14ac:dyDescent="0.3">
      <c r="N257" t="str">
        <f t="shared" si="6"/>
        <v/>
      </c>
      <c r="O257" t="str">
        <f t="shared" si="7"/>
        <v/>
      </c>
    </row>
    <row r="258" spans="14:15" x14ac:dyDescent="0.3">
      <c r="N258" t="str">
        <f t="shared" si="6"/>
        <v/>
      </c>
      <c r="O258" t="str">
        <f t="shared" si="7"/>
        <v/>
      </c>
    </row>
    <row r="259" spans="14:15" x14ac:dyDescent="0.3">
      <c r="N259" t="str">
        <f t="shared" si="6"/>
        <v/>
      </c>
      <c r="O259" t="str">
        <f t="shared" si="7"/>
        <v/>
      </c>
    </row>
    <row r="260" spans="14:15" x14ac:dyDescent="0.3">
      <c r="N260" t="str">
        <f t="shared" ref="N260:N323" si="8">IF(COUNT(D260:M260)=0,"",SUM(D260:M260))</f>
        <v/>
      </c>
      <c r="O260" t="str">
        <f t="shared" ref="O260:O323" si="9">IF(N260="","",IF(N260&gt;=16,"Alta calidad",IF(N260&gt;=11,"Media calidad","Baja calidad")))</f>
        <v/>
      </c>
    </row>
    <row r="261" spans="14:15" x14ac:dyDescent="0.3">
      <c r="N261" t="str">
        <f t="shared" si="8"/>
        <v/>
      </c>
      <c r="O261" t="str">
        <f t="shared" si="9"/>
        <v/>
      </c>
    </row>
    <row r="262" spans="14:15" x14ac:dyDescent="0.3">
      <c r="N262" t="str">
        <f t="shared" si="8"/>
        <v/>
      </c>
      <c r="O262" t="str">
        <f t="shared" si="9"/>
        <v/>
      </c>
    </row>
    <row r="263" spans="14:15" x14ac:dyDescent="0.3">
      <c r="N263" t="str">
        <f t="shared" si="8"/>
        <v/>
      </c>
      <c r="O263" t="str">
        <f t="shared" si="9"/>
        <v/>
      </c>
    </row>
    <row r="264" spans="14:15" x14ac:dyDescent="0.3">
      <c r="N264" t="str">
        <f t="shared" si="8"/>
        <v/>
      </c>
      <c r="O264" t="str">
        <f t="shared" si="9"/>
        <v/>
      </c>
    </row>
    <row r="265" spans="14:15" x14ac:dyDescent="0.3">
      <c r="N265" t="str">
        <f t="shared" si="8"/>
        <v/>
      </c>
      <c r="O265" t="str">
        <f t="shared" si="9"/>
        <v/>
      </c>
    </row>
    <row r="266" spans="14:15" x14ac:dyDescent="0.3">
      <c r="N266" t="str">
        <f t="shared" si="8"/>
        <v/>
      </c>
      <c r="O266" t="str">
        <f t="shared" si="9"/>
        <v/>
      </c>
    </row>
    <row r="267" spans="14:15" x14ac:dyDescent="0.3">
      <c r="N267" t="str">
        <f t="shared" si="8"/>
        <v/>
      </c>
      <c r="O267" t="str">
        <f t="shared" si="9"/>
        <v/>
      </c>
    </row>
    <row r="268" spans="14:15" x14ac:dyDescent="0.3">
      <c r="N268" t="str">
        <f t="shared" si="8"/>
        <v/>
      </c>
      <c r="O268" t="str">
        <f t="shared" si="9"/>
        <v/>
      </c>
    </row>
    <row r="269" spans="14:15" x14ac:dyDescent="0.3">
      <c r="N269" t="str">
        <f t="shared" si="8"/>
        <v/>
      </c>
      <c r="O269" t="str">
        <f t="shared" si="9"/>
        <v/>
      </c>
    </row>
    <row r="270" spans="14:15" x14ac:dyDescent="0.3">
      <c r="N270" t="str">
        <f t="shared" si="8"/>
        <v/>
      </c>
      <c r="O270" t="str">
        <f t="shared" si="9"/>
        <v/>
      </c>
    </row>
    <row r="271" spans="14:15" x14ac:dyDescent="0.3">
      <c r="N271" t="str">
        <f t="shared" si="8"/>
        <v/>
      </c>
      <c r="O271" t="str">
        <f t="shared" si="9"/>
        <v/>
      </c>
    </row>
    <row r="272" spans="14:15" x14ac:dyDescent="0.3">
      <c r="N272" t="str">
        <f t="shared" si="8"/>
        <v/>
      </c>
      <c r="O272" t="str">
        <f t="shared" si="9"/>
        <v/>
      </c>
    </row>
    <row r="273" spans="14:15" x14ac:dyDescent="0.3">
      <c r="N273" t="str">
        <f t="shared" si="8"/>
        <v/>
      </c>
      <c r="O273" t="str">
        <f t="shared" si="9"/>
        <v/>
      </c>
    </row>
    <row r="274" spans="14:15" x14ac:dyDescent="0.3">
      <c r="N274" t="str">
        <f t="shared" si="8"/>
        <v/>
      </c>
      <c r="O274" t="str">
        <f t="shared" si="9"/>
        <v/>
      </c>
    </row>
    <row r="275" spans="14:15" x14ac:dyDescent="0.3">
      <c r="N275" t="str">
        <f t="shared" si="8"/>
        <v/>
      </c>
      <c r="O275" t="str">
        <f t="shared" si="9"/>
        <v/>
      </c>
    </row>
    <row r="276" spans="14:15" x14ac:dyDescent="0.3">
      <c r="N276" t="str">
        <f t="shared" si="8"/>
        <v/>
      </c>
      <c r="O276" t="str">
        <f t="shared" si="9"/>
        <v/>
      </c>
    </row>
    <row r="277" spans="14:15" x14ac:dyDescent="0.3">
      <c r="N277" t="str">
        <f t="shared" si="8"/>
        <v/>
      </c>
      <c r="O277" t="str">
        <f t="shared" si="9"/>
        <v/>
      </c>
    </row>
    <row r="278" spans="14:15" x14ac:dyDescent="0.3">
      <c r="N278" t="str">
        <f t="shared" si="8"/>
        <v/>
      </c>
      <c r="O278" t="str">
        <f t="shared" si="9"/>
        <v/>
      </c>
    </row>
    <row r="279" spans="14:15" x14ac:dyDescent="0.3">
      <c r="N279" t="str">
        <f t="shared" si="8"/>
        <v/>
      </c>
      <c r="O279" t="str">
        <f t="shared" si="9"/>
        <v/>
      </c>
    </row>
    <row r="280" spans="14:15" x14ac:dyDescent="0.3">
      <c r="N280" t="str">
        <f t="shared" si="8"/>
        <v/>
      </c>
      <c r="O280" t="str">
        <f t="shared" si="9"/>
        <v/>
      </c>
    </row>
    <row r="281" spans="14:15" x14ac:dyDescent="0.3">
      <c r="N281" t="str">
        <f t="shared" si="8"/>
        <v/>
      </c>
      <c r="O281" t="str">
        <f t="shared" si="9"/>
        <v/>
      </c>
    </row>
    <row r="282" spans="14:15" x14ac:dyDescent="0.3">
      <c r="N282" t="str">
        <f t="shared" si="8"/>
        <v/>
      </c>
      <c r="O282" t="str">
        <f t="shared" si="9"/>
        <v/>
      </c>
    </row>
    <row r="283" spans="14:15" x14ac:dyDescent="0.3">
      <c r="N283" t="str">
        <f t="shared" si="8"/>
        <v/>
      </c>
      <c r="O283" t="str">
        <f t="shared" si="9"/>
        <v/>
      </c>
    </row>
    <row r="284" spans="14:15" x14ac:dyDescent="0.3">
      <c r="N284" t="str">
        <f t="shared" si="8"/>
        <v/>
      </c>
      <c r="O284" t="str">
        <f t="shared" si="9"/>
        <v/>
      </c>
    </row>
    <row r="285" spans="14:15" x14ac:dyDescent="0.3">
      <c r="N285" t="str">
        <f t="shared" si="8"/>
        <v/>
      </c>
      <c r="O285" t="str">
        <f t="shared" si="9"/>
        <v/>
      </c>
    </row>
    <row r="286" spans="14:15" x14ac:dyDescent="0.3">
      <c r="N286" t="str">
        <f t="shared" si="8"/>
        <v/>
      </c>
      <c r="O286" t="str">
        <f t="shared" si="9"/>
        <v/>
      </c>
    </row>
    <row r="287" spans="14:15" x14ac:dyDescent="0.3">
      <c r="N287" t="str">
        <f t="shared" si="8"/>
        <v/>
      </c>
      <c r="O287" t="str">
        <f t="shared" si="9"/>
        <v/>
      </c>
    </row>
    <row r="288" spans="14:15" x14ac:dyDescent="0.3">
      <c r="N288" t="str">
        <f t="shared" si="8"/>
        <v/>
      </c>
      <c r="O288" t="str">
        <f t="shared" si="9"/>
        <v/>
      </c>
    </row>
    <row r="289" spans="14:15" x14ac:dyDescent="0.3">
      <c r="N289" t="str">
        <f t="shared" si="8"/>
        <v/>
      </c>
      <c r="O289" t="str">
        <f t="shared" si="9"/>
        <v/>
      </c>
    </row>
    <row r="290" spans="14:15" x14ac:dyDescent="0.3">
      <c r="N290" t="str">
        <f t="shared" si="8"/>
        <v/>
      </c>
      <c r="O290" t="str">
        <f t="shared" si="9"/>
        <v/>
      </c>
    </row>
    <row r="291" spans="14:15" x14ac:dyDescent="0.3">
      <c r="N291" t="str">
        <f t="shared" si="8"/>
        <v/>
      </c>
      <c r="O291" t="str">
        <f t="shared" si="9"/>
        <v/>
      </c>
    </row>
    <row r="292" spans="14:15" x14ac:dyDescent="0.3">
      <c r="N292" t="str">
        <f t="shared" si="8"/>
        <v/>
      </c>
      <c r="O292" t="str">
        <f t="shared" si="9"/>
        <v/>
      </c>
    </row>
    <row r="293" spans="14:15" x14ac:dyDescent="0.3">
      <c r="N293" t="str">
        <f t="shared" si="8"/>
        <v/>
      </c>
      <c r="O293" t="str">
        <f t="shared" si="9"/>
        <v/>
      </c>
    </row>
    <row r="294" spans="14:15" x14ac:dyDescent="0.3">
      <c r="N294" t="str">
        <f t="shared" si="8"/>
        <v/>
      </c>
      <c r="O294" t="str">
        <f t="shared" si="9"/>
        <v/>
      </c>
    </row>
    <row r="295" spans="14:15" x14ac:dyDescent="0.3">
      <c r="N295" t="str">
        <f t="shared" si="8"/>
        <v/>
      </c>
      <c r="O295" t="str">
        <f t="shared" si="9"/>
        <v/>
      </c>
    </row>
    <row r="296" spans="14:15" x14ac:dyDescent="0.3">
      <c r="N296" t="str">
        <f t="shared" si="8"/>
        <v/>
      </c>
      <c r="O296" t="str">
        <f t="shared" si="9"/>
        <v/>
      </c>
    </row>
    <row r="297" spans="14:15" x14ac:dyDescent="0.3">
      <c r="N297" t="str">
        <f t="shared" si="8"/>
        <v/>
      </c>
      <c r="O297" t="str">
        <f t="shared" si="9"/>
        <v/>
      </c>
    </row>
    <row r="298" spans="14:15" x14ac:dyDescent="0.3">
      <c r="N298" t="str">
        <f t="shared" si="8"/>
        <v/>
      </c>
      <c r="O298" t="str">
        <f t="shared" si="9"/>
        <v/>
      </c>
    </row>
    <row r="299" spans="14:15" x14ac:dyDescent="0.3">
      <c r="N299" t="str">
        <f t="shared" si="8"/>
        <v/>
      </c>
      <c r="O299" t="str">
        <f t="shared" si="9"/>
        <v/>
      </c>
    </row>
    <row r="300" spans="14:15" x14ac:dyDescent="0.3">
      <c r="N300" t="str">
        <f t="shared" si="8"/>
        <v/>
      </c>
      <c r="O300" t="str">
        <f t="shared" si="9"/>
        <v/>
      </c>
    </row>
    <row r="301" spans="14:15" x14ac:dyDescent="0.3">
      <c r="N301" t="str">
        <f t="shared" si="8"/>
        <v/>
      </c>
      <c r="O301" t="str">
        <f t="shared" si="9"/>
        <v/>
      </c>
    </row>
    <row r="302" spans="14:15" x14ac:dyDescent="0.3">
      <c r="N302" t="str">
        <f t="shared" si="8"/>
        <v/>
      </c>
      <c r="O302" t="str">
        <f t="shared" si="9"/>
        <v/>
      </c>
    </row>
    <row r="303" spans="14:15" x14ac:dyDescent="0.3">
      <c r="N303" t="str">
        <f t="shared" si="8"/>
        <v/>
      </c>
      <c r="O303" t="str">
        <f t="shared" si="9"/>
        <v/>
      </c>
    </row>
  </sheetData>
  <autoFilter ref="A3:P201" xr:uid="{00000000-0009-0000-0000-000005000000}"/>
  <mergeCells count="2">
    <mergeCell ref="A1:P1"/>
    <mergeCell ref="A2:P2"/>
  </mergeCells>
  <conditionalFormatting sqref="N4:N201">
    <cfRule type="cellIs" dxfId="2" priority="1" operator="greaterThanOrEqual">
      <formula>16</formula>
    </cfRule>
    <cfRule type="cellIs" dxfId="1" priority="2" operator="between">
      <formula>10</formula>
      <formula>15</formula>
    </cfRule>
    <cfRule type="cellIs" dxfId="0" priority="3" operator="lessThan">
      <formula>10</formula>
    </cfRule>
  </conditionalFormatting>
  <dataValidations count="1">
    <dataValidation type="list" allowBlank="1" sqref="D4:M303" xr:uid="{00000000-0002-0000-0500-000000000000}">
      <formula1>"0,1,2"</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2"/>
  <sheetViews>
    <sheetView workbookViewId="0">
      <selection activeCell="E38" sqref="E38"/>
    </sheetView>
  </sheetViews>
  <sheetFormatPr baseColWidth="10" defaultColWidth="8.88671875" defaultRowHeight="14.4" x14ac:dyDescent="0.3"/>
  <cols>
    <col min="1" max="1" width="8" customWidth="1"/>
    <col min="2" max="2" width="16" customWidth="1"/>
    <col min="3" max="3" width="60" customWidth="1"/>
    <col min="4" max="4" width="10" customWidth="1"/>
    <col min="5" max="6" width="24" customWidth="1"/>
    <col min="7" max="7" width="15" customWidth="1"/>
    <col min="8" max="12" width="60" customWidth="1"/>
    <col min="13" max="13" width="56" customWidth="1"/>
    <col min="14" max="14" width="60" customWidth="1"/>
    <col min="15" max="15" width="35" customWidth="1"/>
    <col min="16" max="16" width="16" customWidth="1"/>
    <col min="17" max="17" width="34" customWidth="1"/>
    <col min="18" max="18" width="60" customWidth="1"/>
  </cols>
  <sheetData>
    <row r="1" spans="1:18" ht="17.55" customHeight="1" x14ac:dyDescent="0.3">
      <c r="A1" s="35" t="s">
        <v>472</v>
      </c>
      <c r="B1" s="34"/>
      <c r="C1" s="34"/>
      <c r="D1" s="34"/>
      <c r="E1" s="34"/>
      <c r="F1" s="34"/>
      <c r="G1" s="34"/>
      <c r="H1" s="34"/>
      <c r="I1" s="34"/>
      <c r="J1" s="34"/>
      <c r="K1" s="34"/>
      <c r="L1" s="34"/>
      <c r="M1" s="34"/>
      <c r="N1" s="34"/>
      <c r="O1" s="34"/>
      <c r="P1" s="34"/>
      <c r="Q1" s="34"/>
      <c r="R1" s="34"/>
    </row>
    <row r="2" spans="1:18" ht="28.8" customHeight="1" x14ac:dyDescent="0.3">
      <c r="A2" s="33" t="s">
        <v>473</v>
      </c>
      <c r="B2" s="34"/>
      <c r="C2" s="34"/>
      <c r="D2" s="34"/>
      <c r="E2" s="34"/>
      <c r="F2" s="34"/>
      <c r="G2" s="34"/>
      <c r="H2" s="34"/>
      <c r="I2" s="34"/>
      <c r="J2" s="34"/>
      <c r="K2" s="34"/>
      <c r="L2" s="34"/>
      <c r="M2" s="34"/>
      <c r="N2" s="34"/>
      <c r="O2" s="34"/>
      <c r="P2" s="34"/>
      <c r="Q2" s="34"/>
      <c r="R2" s="34"/>
    </row>
    <row r="3" spans="1:18" x14ac:dyDescent="0.3">
      <c r="A3" s="1" t="s">
        <v>2</v>
      </c>
      <c r="B3" s="1" t="s">
        <v>3</v>
      </c>
      <c r="C3" s="1" t="s">
        <v>4</v>
      </c>
      <c r="D3" s="1" t="s">
        <v>6</v>
      </c>
      <c r="E3" s="1" t="s">
        <v>5</v>
      </c>
      <c r="F3" s="1" t="s">
        <v>7</v>
      </c>
      <c r="G3" s="1" t="s">
        <v>474</v>
      </c>
      <c r="H3" s="1" t="s">
        <v>475</v>
      </c>
      <c r="I3" s="1" t="s">
        <v>476</v>
      </c>
      <c r="J3" s="1" t="s">
        <v>477</v>
      </c>
      <c r="K3" s="1" t="s">
        <v>478</v>
      </c>
      <c r="L3" s="1" t="s">
        <v>479</v>
      </c>
      <c r="M3" s="1" t="s">
        <v>480</v>
      </c>
      <c r="N3" s="1" t="s">
        <v>481</v>
      </c>
      <c r="O3" s="1" t="s">
        <v>464</v>
      </c>
      <c r="P3" s="1" t="s">
        <v>470</v>
      </c>
      <c r="Q3" s="1" t="s">
        <v>482</v>
      </c>
      <c r="R3" s="1" t="s">
        <v>483</v>
      </c>
    </row>
    <row r="4" spans="1:18" ht="33.6" customHeight="1" x14ac:dyDescent="0.3"/>
    <row r="5" spans="1:18" ht="33.6" customHeight="1" x14ac:dyDescent="0.3"/>
    <row r="6" spans="1:18" ht="33.6" customHeight="1" x14ac:dyDescent="0.3"/>
    <row r="7" spans="1:18" ht="33.6" customHeight="1" x14ac:dyDescent="0.3"/>
    <row r="8" spans="1:18" ht="33.6" customHeight="1" x14ac:dyDescent="0.3"/>
    <row r="9" spans="1:18" ht="33.6" customHeight="1" x14ac:dyDescent="0.3"/>
    <row r="10" spans="1:18" ht="33.6" customHeight="1" x14ac:dyDescent="0.3"/>
    <row r="11" spans="1:18" ht="33.6" customHeight="1" x14ac:dyDescent="0.3"/>
    <row r="12" spans="1:18" ht="33.6" customHeight="1" x14ac:dyDescent="0.3"/>
    <row r="13" spans="1:18" ht="33.6" customHeight="1" x14ac:dyDescent="0.3"/>
    <row r="14" spans="1:18" ht="33.6" customHeight="1" x14ac:dyDescent="0.3"/>
    <row r="15" spans="1:18" ht="33.6" customHeight="1" x14ac:dyDescent="0.3"/>
    <row r="16" spans="1:18" ht="33.6" customHeight="1" x14ac:dyDescent="0.3"/>
    <row r="17" ht="33.6" customHeight="1" x14ac:dyDescent="0.3"/>
    <row r="18" ht="33.6" customHeight="1" x14ac:dyDescent="0.3"/>
    <row r="19" ht="33.6" customHeight="1" x14ac:dyDescent="0.3"/>
    <row r="20" ht="33.6" customHeight="1" x14ac:dyDescent="0.3"/>
    <row r="21" ht="33.6" customHeight="1" x14ac:dyDescent="0.3"/>
    <row r="22" ht="33.6" customHeight="1" x14ac:dyDescent="0.3"/>
    <row r="23" ht="33.6" customHeight="1" x14ac:dyDescent="0.3"/>
    <row r="24" ht="33.6" customHeight="1" x14ac:dyDescent="0.3"/>
    <row r="25" ht="33.6" customHeight="1" x14ac:dyDescent="0.3"/>
    <row r="26" ht="33.6" customHeight="1" x14ac:dyDescent="0.3"/>
    <row r="27" ht="33.6" customHeight="1" x14ac:dyDescent="0.3"/>
    <row r="28" ht="33.6" customHeight="1" x14ac:dyDescent="0.3"/>
    <row r="29" ht="33.6" customHeight="1" x14ac:dyDescent="0.3"/>
    <row r="30" ht="33.6" customHeight="1" x14ac:dyDescent="0.3"/>
    <row r="31" ht="33.6" customHeight="1" x14ac:dyDescent="0.3"/>
    <row r="32" ht="33.6" customHeight="1" x14ac:dyDescent="0.3"/>
  </sheetData>
  <autoFilter ref="A3:R32" xr:uid="{00000000-0009-0000-0000-000006000000}"/>
  <mergeCells count="2">
    <mergeCell ref="A2:R2"/>
    <mergeCell ref="A1:R1"/>
  </mergeCells>
  <dataValidations count="3">
    <dataValidation type="list" allowBlank="1" sqref="O4:O300" xr:uid="{00000000-0002-0000-0600-000000000000}">
      <formula1>"Alto,Medio,Bajo"</formula1>
    </dataValidation>
    <dataValidation type="list" allowBlank="1" sqref="P4:P300" xr:uid="{00000000-0002-0000-0600-000001000000}">
      <formula1>"Alta calidad,Media calidad,Baja calidad"</formula1>
    </dataValidation>
    <dataValidation type="list" allowBlank="1" sqref="Q4:Q300" xr:uid="{00000000-0002-0000-0600-000002000000}">
      <formula1>"Incluir,Reserva"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3"/>
  <sheetViews>
    <sheetView topLeftCell="A50" workbookViewId="0">
      <selection activeCell="C114" sqref="C114"/>
    </sheetView>
  </sheetViews>
  <sheetFormatPr baseColWidth="10" defaultRowHeight="14.4" x14ac:dyDescent="0.3"/>
  <cols>
    <col min="2" max="2" width="82.109375" customWidth="1"/>
  </cols>
  <sheetData>
    <row r="1" spans="1:6" ht="21" customHeight="1" thickBot="1" x14ac:dyDescent="0.35">
      <c r="A1" s="12" t="s">
        <v>484</v>
      </c>
      <c r="B1" s="13" t="s">
        <v>485</v>
      </c>
      <c r="C1" s="13" t="s">
        <v>486</v>
      </c>
      <c r="D1" s="13" t="s">
        <v>487</v>
      </c>
      <c r="E1" s="13" t="s">
        <v>488</v>
      </c>
      <c r="F1" s="13" t="s">
        <v>489</v>
      </c>
    </row>
    <row r="2" spans="1:6" ht="30" customHeight="1" x14ac:dyDescent="0.3"/>
    <row r="3" spans="1:6" ht="20.399999999999999" customHeight="1" x14ac:dyDescent="0.3"/>
    <row r="4" spans="1:6" ht="20.399999999999999" customHeight="1" x14ac:dyDescent="0.3"/>
    <row r="5" spans="1:6" ht="21" customHeight="1" thickBot="1" x14ac:dyDescent="0.35"/>
    <row r="6" spans="1:6" ht="51" customHeight="1" x14ac:dyDescent="0.3"/>
    <row r="7" spans="1:6" ht="30.6" customHeight="1" x14ac:dyDescent="0.3"/>
    <row r="8" spans="1:6" ht="30.6" customHeight="1" x14ac:dyDescent="0.3"/>
    <row r="9" spans="1:6" ht="20.399999999999999" customHeight="1" x14ac:dyDescent="0.3"/>
    <row r="10" spans="1:6" ht="15" customHeight="1" thickBot="1" x14ac:dyDescent="0.35"/>
    <row r="11" spans="1:6" ht="30.6" customHeight="1" x14ac:dyDescent="0.3"/>
    <row r="12" spans="1:6" ht="30.6" customHeight="1" x14ac:dyDescent="0.3"/>
    <row r="13" spans="1:6" ht="20.399999999999999" customHeight="1" x14ac:dyDescent="0.3"/>
    <row r="14" spans="1:6" ht="20.399999999999999" customHeight="1" x14ac:dyDescent="0.3"/>
    <row r="15" spans="1:6" ht="40.799999999999997" customHeight="1" x14ac:dyDescent="0.3"/>
    <row r="16" spans="1:6" ht="40.799999999999997" customHeight="1" x14ac:dyDescent="0.3"/>
    <row r="17" ht="21" customHeight="1" thickBot="1" x14ac:dyDescent="0.35"/>
    <row r="18" ht="30.6" customHeight="1" x14ac:dyDescent="0.3"/>
    <row r="19" ht="20.399999999999999" customHeight="1" x14ac:dyDescent="0.3"/>
    <row r="20" ht="40.799999999999997" customHeight="1" x14ac:dyDescent="0.3"/>
    <row r="21" ht="30.6" customHeight="1" x14ac:dyDescent="0.3"/>
    <row r="22" ht="20.399999999999999" customHeight="1" x14ac:dyDescent="0.3"/>
    <row r="23" ht="21" customHeight="1" thickBot="1" x14ac:dyDescent="0.35"/>
    <row r="24" ht="30.6" customHeight="1" x14ac:dyDescent="0.3"/>
    <row r="25" ht="71.400000000000006" customHeight="1" x14ac:dyDescent="0.3"/>
    <row r="26" ht="30.6" customHeight="1" x14ac:dyDescent="0.3"/>
    <row r="27" ht="30.6" customHeight="1" x14ac:dyDescent="0.3"/>
    <row r="28" ht="31.2" customHeight="1" thickBot="1" x14ac:dyDescent="0.35"/>
    <row r="29" ht="20.399999999999999" customHeight="1" x14ac:dyDescent="0.3"/>
    <row r="30" ht="30.6" customHeight="1" x14ac:dyDescent="0.3"/>
    <row r="31" ht="20.399999999999999" customHeight="1" x14ac:dyDescent="0.3"/>
    <row r="32" ht="40.799999999999997" customHeight="1" x14ac:dyDescent="0.3"/>
    <row r="33" ht="20.399999999999999" customHeight="1" x14ac:dyDescent="0.3"/>
    <row r="34" ht="31.2" customHeight="1" thickBot="1" x14ac:dyDescent="0.35"/>
    <row r="35" ht="40.799999999999997" customHeight="1" x14ac:dyDescent="0.3"/>
    <row r="36" ht="40.799999999999997" customHeight="1" x14ac:dyDescent="0.3"/>
    <row r="37" ht="40.799999999999997" customHeight="1" x14ac:dyDescent="0.3"/>
    <row r="38" ht="30.6" customHeight="1" x14ac:dyDescent="0.3"/>
    <row r="39" ht="30.6" customHeight="1" x14ac:dyDescent="0.3"/>
    <row r="40" ht="30.6" customHeight="1" x14ac:dyDescent="0.3"/>
    <row r="41" ht="31.2" customHeight="1" thickBot="1" x14ac:dyDescent="0.35"/>
    <row r="42" ht="30.6" customHeight="1" x14ac:dyDescent="0.3"/>
    <row r="43" ht="40.799999999999997" customHeight="1" x14ac:dyDescent="0.3"/>
    <row r="44" ht="20.399999999999999" customHeight="1" x14ac:dyDescent="0.3"/>
    <row r="45" ht="31.2" customHeight="1" thickBot="1" x14ac:dyDescent="0.35"/>
    <row r="49" ht="28.8" customHeight="1" x14ac:dyDescent="0.3"/>
    <row r="50" ht="225.6" customHeight="1" x14ac:dyDescent="0.3"/>
    <row r="51" ht="409.6" customHeight="1" x14ac:dyDescent="0.3"/>
    <row r="52" ht="28.8" customHeight="1" x14ac:dyDescent="0.3"/>
    <row r="53" ht="409.6" customHeight="1"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6"/>
  <sheetViews>
    <sheetView tabSelected="1" workbookViewId="0">
      <selection activeCell="F10" sqref="F10"/>
    </sheetView>
  </sheetViews>
  <sheetFormatPr baseColWidth="10" defaultColWidth="8.88671875" defaultRowHeight="14.4" x14ac:dyDescent="0.3"/>
  <cols>
    <col min="1" max="1" width="42" customWidth="1"/>
    <col min="2" max="2" width="14" customWidth="1"/>
    <col min="3" max="3" width="42" customWidth="1"/>
    <col min="4" max="4" width="3" customWidth="1"/>
    <col min="5" max="5" width="18" customWidth="1"/>
    <col min="6" max="6" width="14" customWidth="1"/>
    <col min="7" max="8" width="10" customWidth="1"/>
    <col min="10" max="10" width="23.33203125" customWidth="1"/>
  </cols>
  <sheetData>
    <row r="1" spans="1:10" ht="17.55" customHeight="1" x14ac:dyDescent="0.3">
      <c r="A1" s="43" t="s">
        <v>490</v>
      </c>
      <c r="B1" s="34"/>
      <c r="C1" s="34"/>
      <c r="D1" s="34"/>
      <c r="E1" s="34"/>
      <c r="F1" s="34"/>
      <c r="G1" s="34"/>
      <c r="H1" s="34"/>
    </row>
    <row r="3" spans="1:10" x14ac:dyDescent="0.3">
      <c r="A3" s="1" t="s">
        <v>491</v>
      </c>
      <c r="B3" s="1" t="s">
        <v>492</v>
      </c>
      <c r="C3" s="1" t="s">
        <v>493</v>
      </c>
      <c r="D3" s="1"/>
      <c r="E3" s="1" t="s">
        <v>3</v>
      </c>
      <c r="F3" s="1" t="s">
        <v>494</v>
      </c>
      <c r="G3" s="1" t="s">
        <v>495</v>
      </c>
      <c r="H3" s="1" t="s">
        <v>496</v>
      </c>
      <c r="J3" s="9" t="s">
        <v>497</v>
      </c>
    </row>
    <row r="4" spans="1:10" x14ac:dyDescent="0.3">
      <c r="A4" s="2" t="s">
        <v>498</v>
      </c>
      <c r="B4" s="3">
        <f>COUNTA(Base_consolidada!A:A)-3</f>
        <v>55</v>
      </c>
      <c r="C4" s="2" t="s">
        <v>499</v>
      </c>
      <c r="D4" s="4"/>
      <c r="E4" s="5" t="s">
        <v>15</v>
      </c>
      <c r="F4" s="5">
        <f>COUNTIF(Articulos_finales!B:B,"Scopus")</f>
        <v>0</v>
      </c>
      <c r="G4" s="5">
        <f>COUNTIFS(Articulos_finales!B:B,"Scopus",Articulos_finales!Q:Q,"Incluir")</f>
        <v>0</v>
      </c>
      <c r="H4" s="5">
        <f>COUNTIFS(Articulos_finales!B:B,"Scopus",Articulos_finales!Q:Q,"Reserva")</f>
        <v>0</v>
      </c>
      <c r="J4" s="10">
        <f>B5+B6</f>
        <v>0</v>
      </c>
    </row>
    <row r="5" spans="1:10" x14ac:dyDescent="0.3">
      <c r="A5" s="6" t="s">
        <v>500</v>
      </c>
      <c r="B5" s="7">
        <f>COUNTIF(Duplicados_y_exclusion!G:G,"Sí")</f>
        <v>0</v>
      </c>
      <c r="C5" s="6" t="s">
        <v>501</v>
      </c>
      <c r="D5" s="4"/>
      <c r="E5" s="8" t="s">
        <v>355</v>
      </c>
      <c r="F5" s="8">
        <f>COUNTIF(Articulos_finales!B:B,"IEEE Xplore")</f>
        <v>0</v>
      </c>
      <c r="G5" s="8">
        <f>COUNTIFS(Articulos_finales!B:B,"IEEE Xplore",Articulos_finales!Q:Q,"Incluir")</f>
        <v>0</v>
      </c>
      <c r="H5" s="8">
        <f>COUNTIFS(Articulos_finales!B:B,"IEEE Xplore",Articulos_finales!Q:Q,"Reserva")</f>
        <v>0</v>
      </c>
    </row>
    <row r="6" spans="1:10" ht="27.6" customHeight="1" x14ac:dyDescent="0.3">
      <c r="A6" s="2" t="s">
        <v>502</v>
      </c>
      <c r="B6" s="3">
        <f>COUNTIF(Duplicados_y_exclusion!E:E,"Revisión sistemática")+COUNTIF(Duplicados_y_exclusion!E:E,"Literature review")+COUNTIF(Duplicados_y_exclusion!E:E,"Survey")+COUNTIF(Duplicados_y_exclusion!E:E,"Mapping study")+COUNTIF(Duplicados_y_exclusion!E:E,"Meta-análisis")</f>
        <v>0</v>
      </c>
      <c r="C6" s="2" t="s">
        <v>503</v>
      </c>
      <c r="D6" s="4"/>
      <c r="E6" s="5" t="s">
        <v>356</v>
      </c>
      <c r="F6" s="5">
        <f>COUNTIF(Articulos_finales!B:B,"Web of Science")</f>
        <v>0</v>
      </c>
      <c r="G6" s="5">
        <f>COUNTIFS(Articulos_finales!B:B,"Web of Science",Articulos_finales!Q:Q,"Incluir")</f>
        <v>0</v>
      </c>
      <c r="H6" s="5">
        <f>COUNTIFS(Articulos_finales!B:B,"Web of Science",Articulos_finales!Q:Q,"Reserva")</f>
        <v>0</v>
      </c>
    </row>
    <row r="7" spans="1:10" ht="27.6" customHeight="1" x14ac:dyDescent="0.3">
      <c r="A7" s="6" t="s">
        <v>504</v>
      </c>
      <c r="B7" s="7">
        <f>COUNTIF(Duplicados_y_exclusion!H:H,"Primario")</f>
        <v>0</v>
      </c>
      <c r="C7" s="6" t="s">
        <v>505</v>
      </c>
      <c r="D7" s="4"/>
      <c r="E7" s="8" t="s">
        <v>338</v>
      </c>
      <c r="F7" s="8">
        <f>COUNTIF(Articulos_finales!B:B,"Springer")</f>
        <v>0</v>
      </c>
      <c r="G7" s="8">
        <f>COUNTIFS(Articulos_finales!B:B,"Springer",Articulos_finales!Q:Q,"Incluir")</f>
        <v>0</v>
      </c>
      <c r="H7" s="8">
        <f>COUNTIFS(Articulos_finales!B:B,"Springer",Articulos_finales!Q:Q,"Reserva")</f>
        <v>0</v>
      </c>
    </row>
    <row r="8" spans="1:10" x14ac:dyDescent="0.3">
      <c r="A8" s="2" t="s">
        <v>506</v>
      </c>
      <c r="B8" s="3">
        <f>COUNTIF(Tamizaje_Tit_Abs_Keys!N:N,"Sí")</f>
        <v>0</v>
      </c>
      <c r="C8" s="2" t="s">
        <v>507</v>
      </c>
      <c r="D8" s="4"/>
      <c r="E8" s="29" t="s">
        <v>290</v>
      </c>
      <c r="F8" s="29">
        <f>COUNTIF(Articulos_finales!B:B,"Science Direct")</f>
        <v>0</v>
      </c>
      <c r="G8" s="29">
        <f>COUNTIFS(Articulos_finales!B:B,"Science Direct",Articulos_finales!Q:Q,"Incluir")</f>
        <v>0</v>
      </c>
      <c r="H8" s="29">
        <f>COUNTIFS(Articulos_finales!B:B,"Science Direct",Articulos_finales!Q:Q,"Reserva")</f>
        <v>0</v>
      </c>
    </row>
    <row r="9" spans="1:10" x14ac:dyDescent="0.3">
      <c r="A9" s="6" t="s">
        <v>508</v>
      </c>
      <c r="B9" s="7">
        <f>COUNTIF(Calidad_articulos!O:O,"Alta calidad")</f>
        <v>0</v>
      </c>
      <c r="C9" s="6" t="s">
        <v>509</v>
      </c>
      <c r="D9" s="4"/>
      <c r="E9" s="4"/>
      <c r="F9" s="4"/>
      <c r="G9" s="4"/>
      <c r="H9" s="4"/>
    </row>
    <row r="10" spans="1:10" x14ac:dyDescent="0.3">
      <c r="A10" s="2" t="s">
        <v>510</v>
      </c>
      <c r="B10" s="3">
        <f>COUNTA(Articulos_finales!A:A)-3</f>
        <v>0</v>
      </c>
      <c r="C10" s="2" t="s">
        <v>511</v>
      </c>
      <c r="D10" s="4"/>
      <c r="E10" s="4"/>
      <c r="F10" s="4"/>
      <c r="G10" s="4"/>
      <c r="H10" s="4"/>
    </row>
    <row r="11" spans="1:10" x14ac:dyDescent="0.3">
      <c r="A11" s="4"/>
      <c r="B11" s="4"/>
      <c r="C11" s="4"/>
      <c r="D11" s="4"/>
      <c r="E11" s="4"/>
      <c r="F11" s="4"/>
      <c r="G11" s="4"/>
      <c r="H11" s="4"/>
    </row>
    <row r="12" spans="1:10" x14ac:dyDescent="0.3">
      <c r="A12" s="41" t="s">
        <v>512</v>
      </c>
      <c r="B12" s="40"/>
      <c r="C12" s="4"/>
      <c r="D12" s="4"/>
      <c r="E12" s="4"/>
      <c r="F12" s="4"/>
      <c r="G12" s="4"/>
      <c r="H12" s="4"/>
    </row>
    <row r="13" spans="1:10" ht="48" customHeight="1" x14ac:dyDescent="0.3">
      <c r="A13" s="42" t="s">
        <v>513</v>
      </c>
      <c r="B13" s="34"/>
      <c r="C13" s="34"/>
      <c r="D13" s="34"/>
      <c r="E13" s="34"/>
      <c r="F13" s="34"/>
      <c r="G13" s="34"/>
      <c r="H13" s="34"/>
    </row>
    <row r="14" spans="1:10" ht="7.95" customHeight="1" x14ac:dyDescent="0.3">
      <c r="A14" s="40"/>
      <c r="B14" s="40"/>
      <c r="C14" s="40"/>
      <c r="D14" s="40"/>
      <c r="E14" s="40"/>
      <c r="F14" s="40"/>
      <c r="G14" s="40"/>
      <c r="H14" s="40"/>
    </row>
    <row r="15" spans="1:10" x14ac:dyDescent="0.3">
      <c r="A15" s="41" t="s">
        <v>514</v>
      </c>
      <c r="B15" s="40"/>
      <c r="C15" s="4"/>
      <c r="D15" s="4"/>
      <c r="E15" s="4"/>
      <c r="F15" s="4"/>
      <c r="G15" s="4"/>
      <c r="H15" s="4"/>
    </row>
    <row r="16" spans="1:10" ht="48" customHeight="1" x14ac:dyDescent="0.3">
      <c r="A16" s="42" t="s">
        <v>515</v>
      </c>
      <c r="B16" s="34"/>
      <c r="C16" s="34"/>
      <c r="D16" s="34"/>
      <c r="E16" s="34"/>
      <c r="F16" s="34"/>
      <c r="G16" s="34"/>
      <c r="H16" s="34"/>
    </row>
    <row r="17" spans="1:8" ht="7.95" customHeight="1" x14ac:dyDescent="0.3">
      <c r="A17" s="40"/>
      <c r="B17" s="40"/>
      <c r="C17" s="40"/>
      <c r="D17" s="40"/>
      <c r="E17" s="40"/>
      <c r="F17" s="40"/>
      <c r="G17" s="40"/>
      <c r="H17" s="40"/>
    </row>
    <row r="18" spans="1:8" x14ac:dyDescent="0.3">
      <c r="A18" s="41" t="s">
        <v>516</v>
      </c>
      <c r="B18" s="40"/>
      <c r="C18" s="4"/>
      <c r="D18" s="4"/>
      <c r="E18" s="4"/>
      <c r="F18" s="4"/>
      <c r="G18" s="4"/>
      <c r="H18" s="4"/>
    </row>
    <row r="19" spans="1:8" ht="48" customHeight="1" x14ac:dyDescent="0.3">
      <c r="A19" s="42" t="s">
        <v>517</v>
      </c>
      <c r="B19" s="34"/>
      <c r="C19" s="34"/>
      <c r="D19" s="34"/>
      <c r="E19" s="34"/>
      <c r="F19" s="34"/>
      <c r="G19" s="34"/>
      <c r="H19" s="34"/>
    </row>
    <row r="20" spans="1:8" ht="7.95" customHeight="1" x14ac:dyDescent="0.3">
      <c r="A20" s="40"/>
      <c r="B20" s="40"/>
      <c r="C20" s="40"/>
      <c r="D20" s="40"/>
      <c r="E20" s="40"/>
      <c r="F20" s="40"/>
      <c r="G20" s="40"/>
      <c r="H20" s="40"/>
    </row>
    <row r="21" spans="1:8" x14ac:dyDescent="0.3">
      <c r="A21" s="41" t="s">
        <v>518</v>
      </c>
      <c r="B21" s="40"/>
      <c r="C21" s="4"/>
      <c r="D21" s="4"/>
      <c r="E21" s="4"/>
      <c r="F21" s="4"/>
      <c r="G21" s="4"/>
      <c r="H21" s="4"/>
    </row>
    <row r="22" spans="1:8" ht="48" customHeight="1" x14ac:dyDescent="0.3">
      <c r="A22" s="39" t="s">
        <v>519</v>
      </c>
      <c r="B22" s="34"/>
      <c r="C22" s="34"/>
      <c r="D22" s="34"/>
      <c r="E22" s="34"/>
      <c r="F22" s="34"/>
      <c r="G22" s="34"/>
      <c r="H22" s="34"/>
    </row>
    <row r="23" spans="1:8" ht="7.95" customHeight="1" x14ac:dyDescent="0.3">
      <c r="A23" s="40"/>
      <c r="B23" s="40"/>
      <c r="C23" s="40"/>
      <c r="D23" s="40"/>
      <c r="E23" s="40"/>
      <c r="F23" s="40"/>
      <c r="G23" s="40"/>
      <c r="H23" s="40"/>
    </row>
    <row r="24" spans="1:8" x14ac:dyDescent="0.3">
      <c r="A24" s="41" t="s">
        <v>520</v>
      </c>
      <c r="B24" s="40"/>
      <c r="C24" s="4"/>
      <c r="D24" s="4"/>
      <c r="E24" s="4"/>
      <c r="F24" s="4"/>
      <c r="G24" s="4"/>
      <c r="H24" s="4"/>
    </row>
    <row r="25" spans="1:8" ht="48" customHeight="1" x14ac:dyDescent="0.3">
      <c r="A25" s="42" t="s">
        <v>521</v>
      </c>
      <c r="B25" s="34"/>
      <c r="C25" s="34"/>
      <c r="D25" s="34"/>
      <c r="E25" s="34"/>
      <c r="F25" s="34"/>
      <c r="G25" s="34"/>
      <c r="H25" s="34"/>
    </row>
    <row r="26" spans="1:8" ht="7.95" customHeight="1" x14ac:dyDescent="0.3">
      <c r="A26" s="40"/>
      <c r="B26" s="40"/>
      <c r="C26" s="40"/>
      <c r="D26" s="40"/>
      <c r="E26" s="40"/>
      <c r="F26" s="40"/>
      <c r="G26" s="40"/>
      <c r="H26" s="40"/>
    </row>
  </sheetData>
  <mergeCells count="11">
    <mergeCell ref="A1:H1"/>
    <mergeCell ref="A18:B18"/>
    <mergeCell ref="A12:B12"/>
    <mergeCell ref="A22:H23"/>
    <mergeCell ref="A24:B24"/>
    <mergeCell ref="A25:H26"/>
    <mergeCell ref="A13:H14"/>
    <mergeCell ref="A15:B15"/>
    <mergeCell ref="A21:B21"/>
    <mergeCell ref="A16:H17"/>
    <mergeCell ref="A19:H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Protocolo</vt:lpstr>
      <vt:lpstr>Cadenas_de_busqueda</vt:lpstr>
      <vt:lpstr>Base_consolidada</vt:lpstr>
      <vt:lpstr>Duplicados_y_exclusion</vt:lpstr>
      <vt:lpstr>Tamizaje_Tit_Abs_Keys</vt:lpstr>
      <vt:lpstr>Calidad_articulos</vt:lpstr>
      <vt:lpstr>Articulos_finales</vt:lpstr>
      <vt:lpstr>Articulos_finales_ok</vt:lpstr>
      <vt:lpstr>Resumen_ejecutivo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ARIEL JOSE LLUMIQUINGA �ACATO</cp:lastModifiedBy>
  <dcterms:created xsi:type="dcterms:W3CDTF">2026-09-16T15:40:04Z</dcterms:created>
  <dcterms:modified xsi:type="dcterms:W3CDTF">2026-09-21T15:52:26Z</dcterms:modified>
</cp:coreProperties>
</file>