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8" autoFilterDateGrouping="1"/>
  </bookViews>
  <sheets>
    <sheet xmlns:r="http://schemas.openxmlformats.org/officeDocument/2006/relationships" name="Protocolo" sheetId="1" state="visible" r:id="rId1"/>
    <sheet xmlns:r="http://schemas.openxmlformats.org/officeDocument/2006/relationships" name="Cadenas_de_busqueda" sheetId="2" state="visible" r:id="rId2"/>
    <sheet xmlns:r="http://schemas.openxmlformats.org/officeDocument/2006/relationships" name="Base_consolidada" sheetId="3" state="visible" r:id="rId3"/>
    <sheet xmlns:r="http://schemas.openxmlformats.org/officeDocument/2006/relationships" name="Duplicados_y_exclusion" sheetId="4" state="visible" r:id="rId4"/>
    <sheet xmlns:r="http://schemas.openxmlformats.org/officeDocument/2006/relationships" name="Tamizaje_Tit_Abs_Keys" sheetId="5" state="visible" r:id="rId5"/>
    <sheet xmlns:r="http://schemas.openxmlformats.org/officeDocument/2006/relationships" name="Calidad_articulos" sheetId="6" state="visible" r:id="rId6"/>
    <sheet xmlns:r="http://schemas.openxmlformats.org/officeDocument/2006/relationships" name="Articulos_finales" sheetId="7" state="visible" r:id="rId7"/>
    <sheet xmlns:r="http://schemas.openxmlformats.org/officeDocument/2006/relationships" name="Articulos_finales_ok" sheetId="8" state="visible" r:id="rId8"/>
    <sheet xmlns:r="http://schemas.openxmlformats.org/officeDocument/2006/relationships" name="Resumen_ejecutivo" sheetId="9" state="visible" r:id="rId9"/>
  </sheets>
  <definedNames>
    <definedName name="_xlnm._FilterDatabase" localSheetId="1" hidden="1">'Cadenas_de_busqueda'!$A$4:$I$14</definedName>
    <definedName name="_xlnm._FilterDatabase" localSheetId="2" hidden="1">'Base_consolidada'!$A$3:$L$52</definedName>
    <definedName name="_xlnm._FilterDatabase" localSheetId="3" hidden="1">'Duplicados_y_exclusion'!$A$3:$J$15</definedName>
    <definedName name="_xlnm._FilterDatabase" localSheetId="4" hidden="1">'Tamizaje_Tit_Abs_Keys'!$A$3:$N$15</definedName>
    <definedName name="_xlnm._FilterDatabase" localSheetId="5" hidden="1">'Calidad_articulos'!$A$3:$P$15</definedName>
    <definedName name="_xlnm._FilterDatabase" localSheetId="6" hidden="1">'Articulos_finales'!$A$3:$R$15</definedName>
    <definedName name="_xlnm._FilterDatabase" localSheetId="7" hidden="1">'Articulos_finales_ok'!$A$1:$F$6</definedName>
  </definedNames>
  <calcPr calcId="191029" fullCalcOnLoad="1"/>
</workbook>
</file>

<file path=xl/styles.xml><?xml version="1.0" encoding="utf-8"?>
<styleSheet xmlns="http://schemas.openxmlformats.org/spreadsheetml/2006/main">
  <numFmts count="0"/>
  <fonts count="20">
    <font>
      <name val="Calibri"/>
      <family val="2"/>
      <color theme="1"/>
      <sz val="11"/>
      <scheme val="minor"/>
    </font>
    <font>
      <name val="Calibri"/>
      <family val="2"/>
      <b val="1"/>
      <color rgb="FFFFFFFF"/>
      <sz val="12"/>
    </font>
    <font>
      <name val="Calibri"/>
      <family val="2"/>
      <i val="1"/>
      <sz val="10"/>
    </font>
    <font>
      <name val="Calibri"/>
      <family val="2"/>
      <b val="1"/>
      <color rgb="FFFFFFFF"/>
      <sz val="11"/>
    </font>
    <font>
      <name val="Calibri"/>
      <family val="2"/>
      <color rgb="FF000000"/>
      <sz val="10"/>
    </font>
    <font>
      <name val="Calibri"/>
      <family val="2"/>
      <sz val="10"/>
    </font>
    <font>
      <name val="Arial"/>
      <family val="2"/>
      <b val="1"/>
      <color theme="1"/>
      <sz val="8"/>
    </font>
    <font>
      <name val="Calibri"/>
      <family val="2"/>
      <b val="1"/>
      <color rgb="FF1F3864"/>
      <sz val="14"/>
    </font>
    <font>
      <name val="Calibri"/>
      <family val="2"/>
      <i val="1"/>
      <color rgb="FF595959"/>
      <sz val="10"/>
    </font>
    <font>
      <name val="Calibri"/>
      <family val="2"/>
      <b val="1"/>
      <color rgb="FF1F3864"/>
      <sz val="11"/>
    </font>
    <font>
      <name val="Calibri"/>
      <family val="2"/>
      <sz val="10"/>
    </font>
    <font>
      <name val="Calibri"/>
      <family val="2"/>
      <b val="1"/>
      <i val="1"/>
      <color rgb="FFC00000"/>
      <sz val="11"/>
    </font>
    <font>
      <name val="Calibri"/>
      <family val="2"/>
      <b val="1"/>
      <color rgb="FFFFFFFF"/>
      <sz val="11"/>
    </font>
    <font>
      <name val="Calibri"/>
      <family val="2"/>
      <b val="1"/>
      <color rgb="FF1F3864"/>
      <sz val="10"/>
    </font>
    <font>
      <name val="Calibri"/>
      <family val="2"/>
      <b val="1"/>
      <color rgb="FFC00000"/>
      <sz val="10"/>
    </font>
    <font>
      <name val="Calibri"/>
      <family val="2"/>
      <sz val="10"/>
    </font>
    <font>
      <name val="Calibri"/>
      <family val="2"/>
      <b val="1"/>
      <color rgb="FF1F3864"/>
      <sz val="11"/>
    </font>
    <font>
      <name val="Calibri"/>
      <family val="2"/>
      <sz val="10"/>
    </font>
    <font>
      <name val="Calibri"/>
      <family val="2"/>
      <color theme="10"/>
      <sz val="12"/>
      <scheme val="minor"/>
    </font>
    <font>
      <b val="1"/>
      <color rgb="00FFFFFF"/>
    </font>
  </fonts>
  <fills count="11">
    <fill>
      <patternFill/>
    </fill>
    <fill>
      <patternFill patternType="gray125"/>
    </fill>
    <fill>
      <patternFill patternType="solid">
        <fgColor rgb="FF0F766E"/>
      </patternFill>
    </fill>
    <fill>
      <patternFill patternType="solid">
        <fgColor rgb="FFEAF3FF"/>
      </patternFill>
    </fill>
    <fill>
      <patternFill patternType="solid">
        <fgColor rgb="FF1F4E78"/>
      </patternFill>
    </fill>
    <fill>
      <patternFill patternType="solid">
        <fgColor rgb="FFEAF6EA"/>
      </patternFill>
    </fill>
    <fill>
      <patternFill patternType="solid">
        <fgColor rgb="FFFFF2CC"/>
      </patternFill>
    </fill>
    <fill>
      <patternFill patternType="solid">
        <fgColor rgb="FFFFF2CC"/>
      </patternFill>
    </fill>
    <fill>
      <patternFill patternType="solid">
        <fgColor rgb="FF1F3864"/>
      </patternFill>
    </fill>
    <fill>
      <patternFill patternType="solid">
        <fgColor rgb="FFD9E1F2"/>
      </patternFill>
    </fill>
    <fill>
      <patternFill patternType="solid">
        <fgColor rgb="001F4E78"/>
      </patternFill>
    </fill>
  </fills>
  <borders count="6">
    <border>
      <left/>
      <right/>
      <top/>
      <bottom/>
      <diagonal/>
    </border>
    <border>
      <left/>
      <right/>
      <top/>
      <bottom style="thin">
        <color rgb="FFB7C9E2"/>
      </bottom>
      <diagonal/>
    </border>
    <border>
      <left/>
      <right/>
      <top/>
      <bottom style="thin">
        <color rgb="FFB7C9E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8" fillId="0" borderId="0"/>
  </cellStyleXfs>
  <cellXfs count="64">
    <xf numFmtId="0" fontId="0" fillId="0" borderId="0" pivotButton="0" quotePrefix="0" xfId="0"/>
    <xf numFmtId="0" fontId="3" fillId="4" borderId="1" applyAlignment="1" pivotButton="0" quotePrefix="0" xfId="0">
      <alignment horizontal="center" vertical="center" wrapText="1"/>
    </xf>
    <xf numFmtId="0" fontId="4" fillId="3" borderId="1" applyAlignment="1" pivotButton="0" quotePrefix="0" xfId="0">
      <alignment vertical="top" wrapText="1"/>
    </xf>
    <xf numFmtId="1" fontId="4" fillId="3" borderId="1" applyAlignment="1" pivotButton="0" quotePrefix="0" xfId="0">
      <alignment vertical="top" wrapText="1"/>
    </xf>
    <xf numFmtId="0" fontId="0" fillId="0" borderId="1" pivotButton="0" quotePrefix="0" xfId="0"/>
    <xf numFmtId="0" fontId="0" fillId="5" borderId="1" applyAlignment="1" pivotButton="0" quotePrefix="0" xfId="0">
      <alignment horizontal="center" vertical="center" wrapText="1"/>
    </xf>
    <xf numFmtId="0" fontId="4" fillId="0" borderId="1" applyAlignment="1" pivotButton="0" quotePrefix="0" xfId="0">
      <alignment vertical="top" wrapText="1"/>
    </xf>
    <xf numFmtId="1" fontId="4" fillId="0" borderId="1" applyAlignment="1" pivotButton="0" quotePrefix="0" xfId="0">
      <alignment vertical="top" wrapText="1"/>
    </xf>
    <xf numFmtId="0" fontId="0" fillId="0" borderId="1" applyAlignment="1" pivotButton="0" quotePrefix="0" xfId="0">
      <alignment horizontal="center" vertical="center" wrapText="1"/>
    </xf>
    <xf numFmtId="0" fontId="3" fillId="4" borderId="0" applyAlignment="1" pivotButton="0" quotePrefix="0" xfId="0">
      <alignment horizontal="center" vertical="center" wrapText="1"/>
    </xf>
    <xf numFmtId="1" fontId="0" fillId="0" borderId="0" pivotButton="0" quotePrefix="0" xfId="0"/>
    <xf numFmtId="0" fontId="5" fillId="0" borderId="0" applyAlignment="1" pivotButton="0" quotePrefix="0" xfId="0">
      <alignment vertical="top" wrapText="1"/>
    </xf>
    <xf numFmtId="0" fontId="6" fillId="0" borderId="3" applyAlignment="1" pivotButton="0" quotePrefix="0" xfId="0">
      <alignment horizontal="justify" vertical="center"/>
    </xf>
    <xf numFmtId="0" fontId="6" fillId="0" borderId="4" applyAlignment="1" pivotButton="0" quotePrefix="0" xfId="0">
      <alignment horizontal="justify" vertical="center"/>
    </xf>
    <xf numFmtId="0" fontId="9" fillId="0" borderId="0" applyAlignment="1" pivotButton="0" quotePrefix="0" xfId="0">
      <alignment vertical="top" wrapText="1"/>
    </xf>
    <xf numFmtId="0" fontId="10" fillId="0" borderId="0" applyAlignment="1" pivotButton="0" quotePrefix="0" xfId="0">
      <alignment vertical="top" wrapText="1"/>
    </xf>
    <xf numFmtId="0" fontId="9" fillId="0" borderId="0" pivotButton="0" quotePrefix="0" xfId="0"/>
    <xf numFmtId="0" fontId="0" fillId="0" borderId="0" applyAlignment="1" pivotButton="0" quotePrefix="0" xfId="0">
      <alignment horizontal="center" vertical="top"/>
    </xf>
    <xf numFmtId="0" fontId="10" fillId="7" borderId="0" applyAlignment="1" pivotButton="0" quotePrefix="0" xfId="0">
      <alignment vertical="top" wrapText="1"/>
    </xf>
    <xf numFmtId="0" fontId="12" fillId="8"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5" applyAlignment="1" pivotButton="0" quotePrefix="0" xfId="0">
      <alignment vertical="top" wrapText="1"/>
    </xf>
    <xf numFmtId="0" fontId="0" fillId="0" borderId="5" pivotButton="0" quotePrefix="0" xfId="0"/>
    <xf numFmtId="0" fontId="13" fillId="0" borderId="0" applyAlignment="1" pivotButton="0" quotePrefix="0" xfId="0">
      <alignment vertical="top" wrapText="1"/>
    </xf>
    <xf numFmtId="0" fontId="14" fillId="7" borderId="0" pivotButton="0" quotePrefix="0" xfId="0"/>
    <xf numFmtId="0" fontId="8" fillId="7" borderId="0" applyAlignment="1" pivotButton="0" quotePrefix="0" xfId="0">
      <alignment vertical="top" wrapText="1"/>
    </xf>
    <xf numFmtId="0" fontId="5" fillId="7" borderId="0" applyAlignment="1" pivotButton="0" quotePrefix="0" xfId="0">
      <alignment vertical="top" wrapText="1"/>
    </xf>
    <xf numFmtId="0" fontId="5" fillId="0" borderId="5" applyAlignment="1" pivotButton="0" quotePrefix="0" xfId="0">
      <alignment vertical="top" wrapText="1"/>
    </xf>
    <xf numFmtId="0" fontId="15" fillId="0" borderId="0" applyAlignment="1" pivotButton="0" quotePrefix="0" xfId="0">
      <alignment vertical="top" wrapText="1"/>
    </xf>
    <xf numFmtId="0" fontId="15" fillId="0" borderId="1" pivotButton="0" quotePrefix="0" xfId="0"/>
    <xf numFmtId="0" fontId="16" fillId="9" borderId="0" pivotButton="0" quotePrefix="0" xfId="0"/>
    <xf numFmtId="0" fontId="17" fillId="0" borderId="0" pivotButton="0" quotePrefix="0" xfId="0"/>
    <xf numFmtId="0" fontId="16" fillId="0" borderId="0" pivotButton="0" quotePrefix="0" xfId="0"/>
    <xf numFmtId="0" fontId="2" fillId="3" borderId="0" applyAlignment="1" pivotButton="0" quotePrefix="0" xfId="0">
      <alignment vertical="top" wrapText="1"/>
    </xf>
    <xf numFmtId="0" fontId="0" fillId="0" borderId="0" pivotButton="0" quotePrefix="0" xfId="0"/>
    <xf numFmtId="0" fontId="1" fillId="2" borderId="0" applyAlignment="1" pivotButton="0" quotePrefix="0" xfId="0">
      <alignment vertical="center"/>
    </xf>
    <xf numFmtId="0" fontId="11" fillId="0" borderId="0" pivotButton="0" quotePrefix="0" xfId="0"/>
    <xf numFmtId="0" fontId="8" fillId="0" borderId="0" pivotButton="0" quotePrefix="0" xfId="0"/>
    <xf numFmtId="0" fontId="7" fillId="0" borderId="0" pivotButton="0" quotePrefix="0" xfId="0"/>
    <xf numFmtId="0" fontId="4" fillId="6" borderId="2" applyAlignment="1" pivotButton="0" quotePrefix="0" xfId="0">
      <alignment vertical="top" wrapText="1"/>
    </xf>
    <xf numFmtId="0" fontId="0" fillId="0" borderId="2" pivotButton="0" quotePrefix="0" xfId="0"/>
    <xf numFmtId="0" fontId="3" fillId="4" borderId="2" applyAlignment="1" pivotButton="0" quotePrefix="0" xfId="0">
      <alignment horizontal="left" vertical="center"/>
    </xf>
    <xf numFmtId="0" fontId="4" fillId="3" borderId="2" applyAlignment="1" pivotButton="0" quotePrefix="0" xfId="0">
      <alignment vertical="top" wrapText="1"/>
    </xf>
    <xf numFmtId="0" fontId="1" fillId="2"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horizontal="center" vertical="top" wrapText="1"/>
    </xf>
    <xf numFmtId="0" fontId="14" fillId="7" borderId="0" applyAlignment="1" pivotButton="0" quotePrefix="0" xfId="0">
      <alignment vertical="top" wrapText="1"/>
    </xf>
    <xf numFmtId="0" fontId="12" fillId="8" borderId="5" applyAlignment="1" pivotButton="0" quotePrefix="0" xfId="0">
      <alignment horizontal="center" vertical="top" wrapText="1"/>
    </xf>
    <xf numFmtId="0" fontId="1" fillId="2" borderId="0" applyAlignment="1" pivotButton="0" quotePrefix="0" xfId="0">
      <alignment vertical="top" wrapText="1"/>
    </xf>
    <xf numFmtId="0" fontId="3" fillId="4" borderId="1" applyAlignment="1" pivotButton="0" quotePrefix="0" xfId="0">
      <alignment horizontal="center" vertical="top" wrapText="1"/>
    </xf>
    <xf numFmtId="0" fontId="12" fillId="4" borderId="2" applyAlignment="1" pivotButton="0" quotePrefix="0" xfId="0">
      <alignment horizontal="center" vertical="top" wrapText="1"/>
    </xf>
    <xf numFmtId="0" fontId="18" fillId="0" borderId="0" applyAlignment="1" pivotButton="0" quotePrefix="0" xfId="1">
      <alignment vertical="top" wrapText="1"/>
    </xf>
    <xf numFmtId="0" fontId="12" fillId="4" borderId="0" applyAlignment="1" pivotButton="0" quotePrefix="0" xfId="0">
      <alignment horizontal="center" vertical="center" wrapText="1"/>
    </xf>
    <xf numFmtId="0" fontId="19" fillId="10" borderId="0" applyAlignment="1" pivotButton="0" quotePrefix="0" xfId="0">
      <alignment vertical="top" wrapText="1"/>
    </xf>
    <xf numFmtId="0" fontId="0" fillId="0" borderId="0" applyAlignment="1" pivotButton="0" quotePrefix="0" xfId="0">
      <alignment vertical="top" wrapText="1"/>
    </xf>
    <xf numFmtId="0" fontId="3" fillId="4" borderId="0" applyAlignment="1" pivotButton="0" quotePrefix="0" xfId="0">
      <alignment horizontal="center" vertical="top" wrapText="1"/>
    </xf>
    <xf numFmtId="0" fontId="0" fillId="5" borderId="1" applyAlignment="1" pivotButton="0" quotePrefix="0" xfId="0">
      <alignment horizontal="center" vertical="top" wrapText="1"/>
    </xf>
    <xf numFmtId="1" fontId="0" fillId="0" borderId="0" applyAlignment="1" pivotButton="0" quotePrefix="0" xfId="0">
      <alignment vertical="top" wrapText="1"/>
    </xf>
    <xf numFmtId="0" fontId="0" fillId="0" borderId="1" applyAlignment="1" pivotButton="0" quotePrefix="0" xfId="0">
      <alignment horizontal="center" vertical="top" wrapText="1"/>
    </xf>
    <xf numFmtId="0" fontId="15" fillId="0" borderId="1" applyAlignment="1" pivotButton="0" quotePrefix="0" xfId="0">
      <alignment vertical="top" wrapText="1"/>
    </xf>
    <xf numFmtId="0" fontId="3" fillId="4" borderId="2" applyAlignment="1" pivotButton="0" quotePrefix="0" xfId="0">
      <alignment horizontal="left" vertical="top" wrapText="1"/>
    </xf>
    <xf numFmtId="0" fontId="12" fillId="4" borderId="2" applyAlignment="1" pivotButton="0" quotePrefix="0" xfId="0">
      <alignment vertical="top" wrapText="1"/>
    </xf>
    <xf numFmtId="0" fontId="18" fillId="0" borderId="0" pivotButton="0" quotePrefix="0" xfId="1"/>
  </cellXfs>
  <cellStyles count="2">
    <cellStyle name="Normal" xfId="0" builtinId="0"/>
    <cellStyle name="Hyperlink" xfId="1" builtinId="8" hidden="0"/>
  </cellStyles>
  <dxfs count="3">
    <dxf>
      <fill>
        <patternFill>
          <bgColor rgb="FFFDE9E7"/>
        </patternFill>
      </fill>
    </dxf>
    <dxf>
      <fill>
        <patternFill>
          <bgColor rgb="FFFFF2CC"/>
        </patternFill>
      </fill>
    </dxf>
    <dxf>
      <fill>
        <patternFill>
          <bgColor rgb="FFEAF6E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Protocolo SLR</author>
  </authors>
  <commentList>
    <comment ref="D3" authorId="0" shapeId="0">
      <text>
        <t>Q1: El objetivo o pregunta del estudio está claramente definido.
0 = no cumple | 1 = parcial | 2 = cumple bien</t>
      </text>
    </comment>
    <comment ref="E3" authorId="0" shapeId="0">
      <text>
        <t>Q2: Identifica el patógeno a nivel de especie (o al menos género) de forma clara.
0 = no cumple | 1 = parcial | 2 = cumple bien</t>
      </text>
    </comment>
    <comment ref="F3" authorId="0" shapeId="0">
      <text>
        <t>Q3: Describe la enfermedad y los síntomas en el TALLO/tronco con claridad.
0 = no cumple | 1 = parcial | 2 = cumple bien</t>
      </text>
    </comment>
    <comment ref="G3" authorId="0" shapeId="0">
      <text>
        <t>Q4: Se realiza sobre aguacate (Persea americana) o es claramente extrapolable a él.
0 = no cumple | 1 = parcial | 2 = cumple bien</t>
      </text>
    </comment>
    <comment ref="H3" authorId="0" shapeId="0">
      <text>
        <t>Q5: La metodología (muestreo, aislamiento, identificación/diagnóstico) está descrita y es replicable.
0 = no cumple | 1 = parcial | 2 = cumple bien</t>
      </text>
    </comment>
    <comment ref="I3" authorId="0" shapeId="0">
      <text>
        <t>Q6: Aporta evidencia que respalda las conclusiones (imágenes, mediciones, laboratorio, secuencias).
0 = no cumple | 1 = parcial | 2 = cumple bien</t>
      </text>
    </comment>
    <comment ref="J3" authorId="0" shapeId="0">
      <text>
        <t>Q7: Menciona métodos de detección/diagnóstico (visual, molecular, imagen o IA) útiles para la app.
0 = no cumple | 1 = parcial | 2 = cumple bien</t>
      </text>
    </comment>
    <comment ref="K3" authorId="0" shapeId="0">
      <text>
        <t>Q8: Indica el contexto geográfico/región (mundial o Latinoamérica) y las condiciones.
0 = no cumple | 1 = parcial | 2 = cumple bien</t>
      </text>
    </comment>
    <comment ref="L3" authorId="0" shapeId="0">
      <text>
        <t>Q9: Resultados y conclusiones claros y coherentes con los datos presentados.
0 = no cumple | 1 = parcial | 2 = cumple bien</t>
      </text>
    </comment>
    <comment ref="M3" authorId="0" shapeId="0">
      <text>
        <t>Q10: Fuente confiable y actual (revista revisada por pares, citable, año dentro del rango).
0 = no cumple | 1 = parcial | 2 = cumple bien</t>
      </text>
    </comment>
    <comment ref="N3" authorId="0" shapeId="0">
      <text>
        <t>Puntaje total = suma de Q1..Q10 (0 a 20). Se calcula solo.</t>
      </text>
    </comment>
    <comment ref="O3" authorId="0" shapeId="0">
      <text>
        <t>Nivel = Alta (16-20) / Media (11-15) / Baja (&lt;=10). Se calcula solo.</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file:///C:/Users/plusm/Desktop/Tesis/Bibliografia/_Bibliografia%20adicional%202026/07_Agallas_Trioza_anceps_Torres_Gurrola_2011_UNAM.url" TargetMode="External" Id="rId1"/><Relationship Type="http://schemas.openxmlformats.org/officeDocument/2006/relationships/hyperlink" Target="file:///C:/Users/plusm/Desktop/Tesis/Bibliografia/_Bibliografia%20adicional%202026/08_Agallas_Trioza_anceps_Rincon_Hernandez_2008.url" TargetMode="External" Id="rId2"/><Relationship Type="http://schemas.openxmlformats.org/officeDocument/2006/relationships/hyperlink" Target="file:///C:/Users/plusm/Desktop/Tesis/Bibliografia/_Bibliografia%20adicional%202026/bibliografia_adicional.bib" TargetMode="External" Id="rId3"/><Relationship Type="http://schemas.openxmlformats.org/officeDocument/2006/relationships/hyperlink" Target="file:///C:/Users/plusm/Desktop/Tesis/Bibliografia/_Bibliografia%20adicional%202026/bibliografia_adicional.bib" TargetMode="External" Id="rId4"/><Relationship Type="http://schemas.openxmlformats.org/officeDocument/2006/relationships/hyperlink" Target="file:///C:/Users/plusm/Desktop/Tesis/Bibliografia/Agallas%20foliares/s10971-026-07179-z.pdf" TargetMode="External" Id="rId5"/><Relationship Type="http://schemas.openxmlformats.org/officeDocument/2006/relationships/hyperlink" Target="file:///C:/Users/plusm/Desktop/Tesis/Bibliografia/_Bibliografia%20adicional%202026/01_Antracnosis_Uysal_Kurt_2020.url" TargetMode="External" Id="rId6"/><Relationship Type="http://schemas.openxmlformats.org/officeDocument/2006/relationships/hyperlink" Target="file:///C:/Users/plusm/Desktop/Tesis/Bibliografia/Antracnosis/IEEE%20Xplore/Unified%20Approach%20for%20Avocado%20Leaf%20Disease%20Classification_%20CNN-SVM%20Fusion.url" TargetMode="External" Id="rId7"/><Relationship Type="http://schemas.openxmlformats.org/officeDocument/2006/relationships/hyperlink" Target="file:///C:/Users/plusm/Desktop/Tesis/Bibliografia/Antracnosis/scopus_export_Sep%209-2026_f215638f-fffb-429f-adc7-ae9f84755503.csv" TargetMode="External" Id="rId8"/><Relationship Type="http://schemas.openxmlformats.org/officeDocument/2006/relationships/hyperlink" Target="file:///C:/Users/plusm/Desktop/Tesis/Bibliografia/Tiz%C3%B3n%20de%20la%20hoja/ijpb-17-00010.pdf" TargetMode="External" Id="rId9"/><Relationship Type="http://schemas.openxmlformats.org/officeDocument/2006/relationships/hyperlink" Target="file:///C:/Users/plusm/Desktop/Tesis/Bibliografia/Antracnosis/scopus_export_Sep%209-2026_f215638f-fffb-429f-adc7-ae9f84755503.csv" TargetMode="External" Id="rId10"/><Relationship Type="http://schemas.openxmlformats.org/officeDocument/2006/relationships/hyperlink" Target="file:///C:/Users/plusm/Desktop/Tesis/Bibliografia/Antracnosis/Springer/s00253-026-13715-2.pdf" TargetMode="External" Id="rId11"/><Relationship Type="http://schemas.openxmlformats.org/officeDocument/2006/relationships/hyperlink" Target="file:///C:/Users/plusm/Desktop/Tesis/Bibliografia/Antracnosis/scopus_export_Sep%209-2026_f215638f-fffb-429f-adc7-ae9f84755503.csv" TargetMode="External" Id="rId12"/><Relationship Type="http://schemas.openxmlformats.org/officeDocument/2006/relationships/hyperlink" Target="file:///C:/Users/plusm/Desktop/Tesis/Bibliografia/Antracnosis/s41598-026-50025-z.pdf" TargetMode="External" Id="rId13"/><Relationship Type="http://schemas.openxmlformats.org/officeDocument/2006/relationships/hyperlink" Target="file:///C:/Users/plusm/Desktop/Tesis/Bibliografia/Antracnosis/agriengineering-08-00340.pdf" TargetMode="External" Id="rId14"/><Relationship Type="http://schemas.openxmlformats.org/officeDocument/2006/relationships/hyperlink" Target="file:///C:/Users/plusm/Desktop/Tesis/Bibliografia/Antracnosis/scopus_export_Sep%209-2026_f215638f-fffb-429f-adc7-ae9f84755503.csv" TargetMode="External" Id="rId15"/><Relationship Type="http://schemas.openxmlformats.org/officeDocument/2006/relationships/hyperlink" Target="file:///C:/Users/plusm/Desktop/Tesis/Bibliografia/_Bibliografia%20adicional%202026/05_Arana_roja_Oligonychus_perseae_Torres_2022.url" TargetMode="External" Id="rId16"/><Relationship Type="http://schemas.openxmlformats.org/officeDocument/2006/relationships/hyperlink" Target="file:///C:/Users/plusm/Desktop/Tesis/Bibliografia/_Bibliografia%20adicional%202026/06_Arana_roja_Oligonychus_punicae_Oliveira_2021.url" TargetMode="External" Id="rId17"/><Relationship Type="http://schemas.openxmlformats.org/officeDocument/2006/relationships/hyperlink" Target="file:///C:/Users/plusm/Desktop/Tesis/Bibliografia/Ara%C3%B1a%20roja/scopus_export_Sep%2010-2026_7aa1caac-78ac-4052-b0ac-49ff0bda6f9c.csv" TargetMode="External" Id="rId18"/><Relationship Type="http://schemas.openxmlformats.org/officeDocument/2006/relationships/hyperlink" Target="file:///C:/Users/plusm/Desktop/Tesis/Bibliografia/Ara%C3%B1a%20roja/scopus_export_Sep%2010-2026_7aa1caac-78ac-4052-b0ac-49ff0bda6f9c.csv" TargetMode="External" Id="rId19"/><Relationship Type="http://schemas.openxmlformats.org/officeDocument/2006/relationships/hyperlink" Target="file:///C:/Users/plusm/Desktop/Tesis/Bibliografia/Ara%C3%B1a%20roja/scopus_export_Sep%2010-2026_7aa1caac-78ac-4052-b0ac-49ff0bda6f9c.csv" TargetMode="External" Id="rId20"/><Relationship Type="http://schemas.openxmlformats.org/officeDocument/2006/relationships/hyperlink" Target="file:///C:/Users/plusm/Desktop/Tesis/Bibliografia/Ara%C3%B1a%20roja/scopus_export_Sep%2010-2026_7aa1caac-78ac-4052-b0ac-49ff0bda6f9c.csv" TargetMode="External" Id="rId21"/><Relationship Type="http://schemas.openxmlformats.org/officeDocument/2006/relationships/hyperlink" Target="file:///C:/Users/plusm/Desktop/Tesis/Bibliografia/Ara%C3%B1a%20roja/scopus_export_Sep%2010-2026_7aa1caac-78ac-4052-b0ac-49ff0bda6f9c.csv" TargetMode="External" Id="rId22"/><Relationship Type="http://schemas.openxmlformats.org/officeDocument/2006/relationships/hyperlink" Target="file:///C:/Users/plusm/Desktop/Tesis/Bibliografia/Ara%C3%B1a%20roja/scopus_export_Sep%2010-2026_7aa1caac-78ac-4052-b0ac-49ff0bda6f9c.csv" TargetMode="External" Id="rId23"/><Relationship Type="http://schemas.openxmlformats.org/officeDocument/2006/relationships/hyperlink" Target="file:///C:/Users/plusm/Desktop/Tesis/Bibliografia/_Bibliografia%20adicional%202026/02_Tizon_Pseudocercospora_norchiensis_Dai_2026.url" TargetMode="External" Id="rId24"/><Relationship Type="http://schemas.openxmlformats.org/officeDocument/2006/relationships/hyperlink" Target="file:///C:/Users/plusm/Desktop/Tesis/Bibliografia/_Bibliografia%20adicional%202026/04_Cercospora_van_Eeden_Korsten_2013.url" TargetMode="External" Id="rId25"/><Relationship Type="http://schemas.openxmlformats.org/officeDocument/2006/relationships/hyperlink" Target="file:///C:/Users/plusm/Desktop/Tesis/Bibliografia/Cercospora/rcch%2C%2B03_Validation%2Bof%2Bblack%2Bspot%2B%5B%28Pseudocercospora%2Bpurpurea%2B%28Cooke%29%2BDeighton%5D%2Bmanagement%2Bstrategies%2Bin%2Bavocado%2Bcrops%2Bin%2Bnorther.pdf" TargetMode="External" Id="rId26"/><Relationship Type="http://schemas.openxmlformats.org/officeDocument/2006/relationships/hyperlink" Target="file:///C:/Users/plusm/Desktop/Tesis/Bibliografia/_Bibliografia%20adicional%202026/09_Rona_Scab_Belizaire_2024.url" TargetMode="External" Id="rId27"/><Relationship Type="http://schemas.openxmlformats.org/officeDocument/2006/relationships/hyperlink" Target="file:///C:/Users/plusm/Desktop/Tesis/Bibliografia/_Bibliografia%20adicional%202026/10_Rona_Scab_Chellappan_2024_PDF.url" TargetMode="External" Id="rId28"/><Relationship Type="http://schemas.openxmlformats.org/officeDocument/2006/relationships/hyperlink" Target="file:///C:/Users/plusm/Desktop/Tesis/Bibliografia/_Bibliografia%20adicional%202026/bibliografia_adicional.bib" TargetMode="External" Id="rId29"/><Relationship Type="http://schemas.openxmlformats.org/officeDocument/2006/relationships/hyperlink" Target="file:///C:/Users/plusm/Desktop/Tesis/Bibliografia/_Bibliografia%20adicional%202026/03_Tizon_Neopestalotiopsis_Darapanit_2021.url" TargetMode="External" Id="rId30"/><Relationship Type="http://schemas.openxmlformats.org/officeDocument/2006/relationships/hyperlink" Target="file:///C:/Users/plusm/Desktop/Tesis/Bibliografia/_Bibliografia%20adicional%202026/bibliografia_adicional.bib" TargetMode="External" Id="rId31"/><Relationship Type="http://schemas.openxmlformats.org/officeDocument/2006/relationships/hyperlink" Target="file:///C:/Users/plusm/Desktop/Tesis/Bibliografia/Cultivos%20comparativos/IEEE%20Xplore/CNN-Based%20Plant%20Leaf%20Disease%20Identification%20and%20Classification%20for%20Sustainable%20Agriculture.url" TargetMode="External" Id="rId32"/><Relationship Type="http://schemas.openxmlformats.org/officeDocument/2006/relationships/hyperlink" Target="file:///C:/Users/plusm/Desktop/Tesis/Bibliografia/Vision%20artificial%20y%20UAV/IEEE%20Xplore/Crop%20Disease%20Prediction%20System.url" TargetMode="External" Id="rId33"/><Relationship Type="http://schemas.openxmlformats.org/officeDocument/2006/relationships/hyperlink" Target="file:///C:/Users/plusm/Desktop/Tesis/Bibliografia/Cultivos%20comparativos/IEEE%20Xplore/Image-Based%20Plant%20Leaf%20Disease%20Detection%20using%20Deep%20Learning.url" TargetMode="External" Id="rId34"/><Relationship Type="http://schemas.openxmlformats.org/officeDocument/2006/relationships/hyperlink" Target="file:///C:/Users/plusm/Desktop/Tesis/Bibliografia/_Bibliografia%20adicional%202026/LEEME.md" TargetMode="External" Id="rId35"/><Relationship Type="http://schemas.openxmlformats.org/officeDocument/2006/relationships/hyperlink" Target="file:///C:/Users/plusm/Desktop/Tesis/Bibliografia/Cultivos%20comparativos/IEEE%20Xplore/Plant%20Disease%20Detection%20Using%20Deep%20Learning.url" TargetMode="External" Id="rId36"/><Relationship Type="http://schemas.openxmlformats.org/officeDocument/2006/relationships/hyperlink" Target="file:///C:/Users/plusm/Desktop/Tesis/Bibliografia/Mosca%20blanca/IEEE%20Xplore/Plant%20Leaf%20Disease%20Detection_%20Classification_%20and%20Diagnosis%20Using%20Computer%20Vision%20and%20Artificial%20Intelligence_%20A%20Review.url" TargetMode="External" Id="rId37"/><Relationship Type="http://schemas.openxmlformats.org/officeDocument/2006/relationships/hyperlink" Target="file:///C:/Users/plusm/Desktop/Tesis/Bibliografia/Vision%20artificial%20y%20UAV/IEEE%20Xplore/Real-Time%20Detection%20and%20Identification%20of%20Plant%20Leaf%20Diseases%20using%20YOLOv4-tiny.url" TargetMode="External" Id="rId38"/><Relationship Type="http://schemas.openxmlformats.org/officeDocument/2006/relationships/hyperlink" Target="file:///C:/Users/plusm/Desktop/Tesis/Bibliografia/Real-time%20hass%20avocado%20ripeness%20detection%20using%20close-range%20UAV%20imagery%20and%20YOLO-based%20deep%20learning.pdf" TargetMode="External" Id="rId39"/><Relationship Type="http://schemas.openxmlformats.org/officeDocument/2006/relationships/hyperlink" Target="file:///C:/Users/plusm/Desktop/Tesis/Bibliografia/Cultivos%20comparativos/Simultaneously%20prediction%20of%20multiple%20wheat%20leaf%20phenotypes%20using.pdf" TargetMode="External" Id="rId40"/><Relationship Type="http://schemas.openxmlformats.org/officeDocument/2006/relationships/hyperlink" Target="file:///C:/Users/plusm/Desktop/Tesis/Bibliografia/Fisiologia%20y%20riego/Mitigating%20negative%20effects%20of%20long-term%20treated%20wastewater%20irrigationLeaf.pdf" TargetMode="External" Id="rId41"/><Relationship Type="http://schemas.openxmlformats.org/officeDocument/2006/relationships/hyperlink" Target="file:///C:/Users/plusm/Desktop/Tesis/Bibliografia/Cultivos%20comparativos/IEEE%20Xplore/Plant%20Disease%20Detection%20Using%20Deep%20Learning.md" TargetMode="External" Id="rId42"/><Relationship Type="http://schemas.openxmlformats.org/officeDocument/2006/relationships/hyperlink" Target="file:///C:/Users/plusm/Desktop/Tesis/Bibliografia/Vision%20artificial%20y%20UAV/IEEE%20Xplore/Real-Time%20Detection%20and%20Identification%20of%20Plant%20Leaf%20Diseases%20using%20YOLOv4-tiny.md" TargetMode="External" Id="rId43"/><Relationship Type="http://schemas.openxmlformats.org/officeDocument/2006/relationships/hyperlink" Target="file:///C:/Users/plusm/Desktop/Tesis/Bibliografia/Cultivos%20comparativos/Implementation-of-deep-learning-for-image-based-potato-leaf-disease-detection.pdf" TargetMode="External" Id="rId44"/><Relationship Type="http://schemas.openxmlformats.org/officeDocument/2006/relationships/hyperlink" Target="file:///C:/Users/plusm/Desktop/Tesis/Bibliografia/Cultivos%20comparativos/IEEE%20Xplore/Image-Based%20Plant%20Leaf%20Disease%20Detection%20using%20Deep%20Learning.md" TargetMode="External" Id="rId45"/><Relationship Type="http://schemas.openxmlformats.org/officeDocument/2006/relationships/hyperlink" Target="file:///C:/Users/plusm/Desktop/Tesis/Bibliografia/Vision%20artificial%20y%20UAV/IEEE%20Xplore/Plant%20Leaf%20Disease%20Detection_%20Classification_%20and%20Diagnosis%20Using%20Computer%20Vision%20and%20Artificial%20Intelligence_%20A%20Review.md" TargetMode="External" Id="rId46"/><Relationship Type="http://schemas.openxmlformats.org/officeDocument/2006/relationships/hyperlink" Target="file:///C:/Users/plusm/Desktop/Tesis/Bibliografia/Vision%20artificial%20y%20UAV/IEEE%20Xplore/Unified%20Approach%20for%20Avocado%20Leaf%20Disease%20Classification_%20CNN-SVM%20Fusion.md" TargetMode="External" Id="rId47"/><Relationship Type="http://schemas.openxmlformats.org/officeDocument/2006/relationships/hyperlink" Target="file:///C:/Users/plusm/Desktop/Tesis/Bibliografia/Cultivos%20comparativos/IEEE%20Xplore/CNN-Based%20Plant%20Leaf%20Disease%20Identification%20and%20Classification%20for%20Sustainable%20Agriculture.md" TargetMode="External" Id="rId48"/><Relationship Type="http://schemas.openxmlformats.org/officeDocument/2006/relationships/hyperlink" Target="file:///C:/Users/plusm/Desktop/Tesis/Bibliografia/Vision%20artificial%20y%20UAV/IEEE%20Xplore/Crop%20Disease%20Prediction%20System.md" TargetMode="External" Id="rId49"/></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48"/>
  <sheetViews>
    <sheetView zoomScale="115" workbookViewId="0">
      <selection activeCell="B39" sqref="B39"/>
    </sheetView>
  </sheetViews>
  <sheetFormatPr baseColWidth="10" defaultColWidth="8.88671875" defaultRowHeight="14.4"/>
  <cols>
    <col width="34" customWidth="1" style="34" min="1" max="1"/>
    <col width="55" customWidth="1" style="34" min="2" max="2"/>
  </cols>
  <sheetData>
    <row r="1" ht="18" customHeight="1" s="34">
      <c r="A1" s="44" t="inlineStr">
        <is>
          <t>PROTOCOLO DE LA REVISIÓN SISTEMÁTICA DE LITERATURA</t>
        </is>
      </c>
    </row>
    <row r="2">
      <c r="A2" s="45" t="inlineStr">
        <is>
          <t>Paso 0 — Reglas definidas ANTES de filtrar. Este es el 'plan de vuelo': ajusta cada campo a tu proyecto.</t>
        </is>
      </c>
    </row>
    <row r="4">
      <c r="A4" s="14" t="inlineStr">
        <is>
          <t>1. Tema / Proyecto</t>
        </is>
      </c>
      <c r="B4" s="15" t="inlineStr">
        <is>
          <t>Integración de inteligencia artificial en una aplicación móvil para la detección de enfermedades y plagas foliares del aguacate (Persea americana).</t>
        </is>
      </c>
    </row>
    <row r="5" ht="27.6" customHeight="1" s="34">
      <c r="A5" s="14" t="inlineStr">
        <is>
          <t>2. Pregunta de investigación</t>
        </is>
      </c>
      <c r="B5" s="15" t="inlineStr">
        <is>
          <t>¿Qué enfermedades y plagas afectan las hojas del aguacate (Persea americana), qué síntomas visuales producen y qué métodos de inteligencia artificial, visión por computador o imágenes UAV se han utilizado o pueden adaptarse para su detección?</t>
        </is>
      </c>
    </row>
    <row r="6" ht="27.6" customHeight="1" s="34">
      <c r="A6" s="14" t="inlineStr">
        <is>
          <t>3. Objetivo de esta SLR</t>
        </is>
      </c>
      <c r="B6" s="15" t="inlineStr">
        <is>
          <t>Reunir y sintetizar evidencia científica sobre enfermedades y plagas foliares del aguacate y sobre métodos de detección automatizada que sirvan como base para un sistema de IA o aplicación móvil.</t>
        </is>
      </c>
    </row>
    <row r="8">
      <c r="A8" s="14" t="inlineStr">
        <is>
          <t>4. Criterios de INCLUSIÓN</t>
        </is>
      </c>
    </row>
    <row r="9">
      <c r="A9" s="46" t="inlineStr">
        <is>
          <t>•</t>
        </is>
      </c>
      <c r="B9" s="15" t="inlineStr">
        <is>
          <t>Trata sobre aguacate / Persea americana o aporta un método de detección foliar extrapolable.</t>
        </is>
      </c>
    </row>
    <row r="10">
      <c r="A10" s="46" t="inlineStr">
        <is>
          <t>•</t>
        </is>
      </c>
      <c r="B10" s="15" t="inlineStr">
        <is>
          <t>Menciona enfermedades o plagas foliares relevantes: antracnosis, Cercospora, ácaros, agallas, tizón foliar, roña u otras afecciones visibles en hoja.</t>
        </is>
      </c>
    </row>
    <row r="11" ht="27.6" customHeight="1" s="34">
      <c r="A11" s="46" t="inlineStr">
        <is>
          <t>•</t>
        </is>
      </c>
      <c r="B11" s="15" t="inlineStr">
        <is>
          <t>Aporta información sobre hojas, síntomas foliares, imagen, detección, clasificación, severidad, diagnóstico o monitoreo con IA/UAV/visión por computador.</t>
        </is>
      </c>
    </row>
    <row r="12">
      <c r="A12" s="46" t="inlineStr">
        <is>
          <t>•</t>
        </is>
      </c>
      <c r="B12" s="15" t="inlineStr">
        <is>
          <t>Es estudio primario, artículo técnico, ponencia IEEE o revisión metodológica relevante para el estado del arte.</t>
        </is>
      </c>
    </row>
    <row r="13">
      <c r="A13" s="46" t="inlineStr">
        <is>
          <t>•</t>
        </is>
      </c>
      <c r="B13" s="15" t="inlineStr">
        <is>
          <t>Idioma: español o inglés.</t>
        </is>
      </c>
    </row>
    <row r="15">
      <c r="A15" s="14" t="inlineStr">
        <is>
          <t>5. Criterios de EXCLUSIÓN</t>
        </is>
      </c>
    </row>
    <row r="16">
      <c r="A16" s="46" t="inlineStr">
        <is>
          <t>•</t>
        </is>
      </c>
      <c r="B16" s="15" t="inlineStr">
        <is>
          <t>Se enfoca únicamente en raíz, tallo o fruto sin relación con hojas ni método extrapolable a diagnóstico foliar.</t>
        </is>
      </c>
    </row>
    <row r="17">
      <c r="A17" s="46" t="inlineStr">
        <is>
          <t>•</t>
        </is>
      </c>
      <c r="B17" s="15" t="inlineStr">
        <is>
          <t>No aporta información sobre enfermedad/plaga, síntomas, imagen, IA, diagnóstico o aplicación móvil.</t>
        </is>
      </c>
    </row>
    <row r="18">
      <c r="A18" s="46" t="inlineStr">
        <is>
          <t>•</t>
        </is>
      </c>
      <c r="B18" s="15" t="inlineStr">
        <is>
          <t>No especifica cultivo, órgano, enfermedad/plaga ni método utilizado.</t>
        </is>
      </c>
    </row>
    <row r="19">
      <c r="A19" s="46" t="inlineStr">
        <is>
          <t>•</t>
        </is>
      </c>
      <c r="B19" s="15" t="inlineStr">
        <is>
          <t>Registro duplicado (mismo DOI o título en otra base).</t>
        </is>
      </c>
    </row>
    <row r="20">
      <c r="A20" s="46" t="inlineStr">
        <is>
          <t>•</t>
        </is>
      </c>
      <c r="B20" s="15" t="inlineStr">
        <is>
          <t>Fuera del rango de años definido / idioma distinto de español o inglés.</t>
        </is>
      </c>
    </row>
    <row r="22">
      <c r="A22" s="14" t="inlineStr">
        <is>
          <t>6. Grupos de patógenos considerados</t>
        </is>
      </c>
      <c r="B22" s="15" t="n"/>
    </row>
    <row r="23">
      <c r="A23" s="15" t="inlineStr">
        <is>
          <t>1. Phytophthora spp.</t>
        </is>
      </c>
      <c r="B23" s="15" t="inlineStr">
        <is>
          <t>Colletotrichum spp.</t>
        </is>
      </c>
    </row>
    <row r="24">
      <c r="A24" s="18" t="inlineStr">
        <is>
          <t>2. Lasiodiplodia spp.</t>
        </is>
      </c>
      <c r="B24" s="26" t="inlineStr">
        <is>
          <t>Pseudocercospora / Cercospora</t>
        </is>
      </c>
    </row>
    <row r="25">
      <c r="A25" s="18" t="inlineStr">
        <is>
          <t>3. Botryosphaeriaceae</t>
        </is>
      </c>
      <c r="B25" s="26" t="inlineStr">
        <is>
          <t>Oligonychus spp.</t>
        </is>
      </c>
    </row>
    <row r="26">
      <c r="A26" s="15" t="inlineStr">
        <is>
          <t>4. Colletotrichum spp.</t>
        </is>
      </c>
      <c r="B26" s="15" t="inlineStr">
        <is>
          <t>Trioza spp.</t>
        </is>
      </c>
    </row>
    <row r="27">
      <c r="A27" s="15" t="inlineStr">
        <is>
          <t>5. Fusarium spp.</t>
        </is>
      </c>
      <c r="B27" s="15" t="inlineStr">
        <is>
          <t>Pestalotiopsis / Neopestalotiopsis / Pseudopestalotiopsis</t>
        </is>
      </c>
    </row>
    <row r="28">
      <c r="A28" s="18" t="inlineStr">
        <is>
          <t>6. Nectria spp.</t>
        </is>
      </c>
      <c r="B28" s="26" t="inlineStr">
        <is>
          <t>Elsinoe perseae</t>
        </is>
      </c>
    </row>
    <row r="30" ht="27.6" customHeight="1" s="34">
      <c r="A30" s="14" t="inlineStr">
        <is>
          <t>7. Bases de datos consultadas</t>
        </is>
      </c>
      <c r="B30" s="15" t="inlineStr">
        <is>
          <t>Scopus · IEEE Xplore · Web of Science · Springer · Google Scholar como apoyo.</t>
        </is>
      </c>
    </row>
    <row r="31" ht="27.6" customHeight="1" s="34">
      <c r="A31" s="14" t="inlineStr">
        <is>
          <t>8. Filtros aplicados</t>
        </is>
      </c>
      <c r="B31" s="15" t="inlineStr">
        <is>
          <t>Años: 2010-2026. Idioma: español / inglés. Tipo: artículos, ponencias y revisiones metodológicas relevantes.</t>
        </is>
      </c>
    </row>
    <row r="32" ht="27.6" customHeight="1" s="34">
      <c r="A32" s="14" t="inlineStr">
        <is>
          <t>9. Criterios de calidad (Q1–Q10)</t>
        </is>
      </c>
      <c r="B32" s="15" t="inlineStr">
        <is>
          <t>Escala por criterio: 0 = no cumple · 1 = cumple parcialmente · 2 = cumple bien. Se puntúan en la hoja 'Calidad_articulos' (total y nivel se calculan solos).</t>
        </is>
      </c>
    </row>
    <row r="33">
      <c r="A33" s="23" t="inlineStr">
        <is>
          <t>Q1</t>
        </is>
      </c>
      <c r="B33" s="15" t="inlineStr">
        <is>
          <t>El objetivo o pregunta del estudio está claramente definido.</t>
        </is>
      </c>
    </row>
    <row r="34">
      <c r="A34" s="23" t="inlineStr">
        <is>
          <t>Q2</t>
        </is>
      </c>
      <c r="B34" s="15" t="inlineStr">
        <is>
          <t>Identifica enfermedad, plaga, patógeno o clase visual de forma clara.</t>
        </is>
      </c>
    </row>
    <row r="35">
      <c r="A35" s="23" t="inlineStr">
        <is>
          <t>Q3</t>
        </is>
      </c>
      <c r="B35" s="15" t="inlineStr">
        <is>
          <t>Describe síntomas foliares o características visuales útiles para diagnóstico.</t>
        </is>
      </c>
    </row>
    <row r="36">
      <c r="A36" s="23" t="inlineStr">
        <is>
          <t>Q4</t>
        </is>
      </c>
      <c r="B36" s="15" t="inlineStr">
        <is>
          <t>Se realiza sobre aguacate o presenta un método de detección foliar extrapolable al cultivo.</t>
        </is>
      </c>
    </row>
    <row r="37">
      <c r="A37" s="23" t="inlineStr">
        <is>
          <t>Q5</t>
        </is>
      </c>
      <c r="B37" s="15" t="inlineStr">
        <is>
          <t>La metodología de captura, diagnóstico, clasificación o evaluación está descrita y es replicable.</t>
        </is>
      </c>
    </row>
    <row r="38">
      <c r="A38" s="23" t="inlineStr">
        <is>
          <t>Q6</t>
        </is>
      </c>
      <c r="B38" s="15" t="inlineStr">
        <is>
          <t>Aporta evidencia que respalda las conclusiones: imágenes, métricas, laboratorio, campo, índices o resultados del modelo.</t>
        </is>
      </c>
    </row>
    <row r="39">
      <c r="A39" s="23" t="inlineStr">
        <is>
          <t>Q7</t>
        </is>
      </c>
      <c r="B39" s="15" t="inlineStr">
        <is>
          <t>Menciona métodos de detección o diagnóstico útiles para IA, app móvil, UAV o visión por computador.</t>
        </is>
      </c>
    </row>
    <row r="40">
      <c r="A40" s="23" t="inlineStr">
        <is>
          <t>Q8</t>
        </is>
      </c>
      <c r="B40" s="15" t="inlineStr">
        <is>
          <t>Indica el contexto geográfico/región (mundial o Latinoamérica) y las condiciones.</t>
        </is>
      </c>
    </row>
    <row r="41">
      <c r="A41" s="23" t="inlineStr">
        <is>
          <t>Q9</t>
        </is>
      </c>
      <c r="B41" s="15" t="inlineStr">
        <is>
          <t>Resultados y conclusiones claros y coherentes con los datos presentados.</t>
        </is>
      </c>
    </row>
    <row r="42">
      <c r="A42" s="23" t="inlineStr">
        <is>
          <t>Q10</t>
        </is>
      </c>
      <c r="B42" s="15" t="inlineStr">
        <is>
          <t>Fuente confiable y actual (revista revisada por pares, citable, año dentro del rango).</t>
        </is>
      </c>
    </row>
    <row r="43">
      <c r="A43" s="23" t="inlineStr">
        <is>
          <t>Puntaje / Nivel</t>
        </is>
      </c>
      <c r="B43" s="15" t="inlineStr">
        <is>
          <t>Total 0–20 →  Alta: 16–20  ·  Media: 11–15  ·  Baja: ≤ 10  (cálculo automático).</t>
        </is>
      </c>
    </row>
    <row r="44">
      <c r="A44" s="47" t="inlineStr">
        <is>
          <t>Validar</t>
        </is>
      </c>
      <c r="B44" s="25" t="n"/>
    </row>
    <row r="46" ht="27.6" customHeight="1" s="34">
      <c r="A46" s="14" t="inlineStr">
        <is>
          <t>10. Datos a extraer de cada artículo</t>
        </is>
      </c>
      <c r="B46" s="11" t="inlineStr">
        <is>
          <t>ID · Autores · Año · DOI · Enfermedad/plaga · Síntoma foliar · Tipo de imagen/sensor · Técnica IA · Métricas · Región · Aporte al sistema móvil.</t>
        </is>
      </c>
    </row>
    <row r="48">
      <c r="A48" s="36" t="n"/>
    </row>
  </sheetData>
  <mergeCells count="3">
    <mergeCell ref="A48:B48"/>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workbookViewId="0">
      <selection activeCell="D7" sqref="D7"/>
    </sheetView>
  </sheetViews>
  <sheetFormatPr baseColWidth="10" defaultColWidth="8.88671875" defaultRowHeight="14.4"/>
  <cols>
    <col width="12" customWidth="1" style="34" min="1" max="1"/>
    <col width="20" customWidth="1" style="34" min="2" max="2"/>
    <col width="16" customWidth="1" style="34" min="3" max="3"/>
    <col width="55" customWidth="1" style="34" min="4" max="4"/>
    <col width="20" customWidth="1" style="34" min="5" max="6"/>
    <col width="13" customWidth="1" style="34" min="6" max="6"/>
    <col width="16" customWidth="1" style="34" min="7" max="7"/>
    <col width="12" customWidth="1" style="34" min="8" max="8"/>
    <col width="28" customWidth="1" style="34" min="9" max="9"/>
  </cols>
  <sheetData>
    <row r="1" ht="18" customHeight="1" s="34">
      <c r="A1" s="44" t="inlineStr">
        <is>
          <t>CADENAS DE BÚSQUEDA (registro para reproducibilidad)</t>
        </is>
      </c>
    </row>
    <row r="2">
      <c r="A2" s="45" t="inlineStr">
        <is>
          <t>Escribe la cadena EXACTA usada en cada base, con su fecha y nº de resultados. Repite cada cadena en las 4 bases y registra los resultados de cada una. Esto hace tu revisión REPRODUCIBLE.</t>
        </is>
      </c>
    </row>
    <row r="4" ht="28.8" customHeight="1" s="34">
      <c r="A4" s="48" t="inlineStr">
        <is>
          <t>N.º</t>
        </is>
      </c>
      <c r="B4" s="48" t="inlineStr">
        <is>
          <t>Grupo</t>
        </is>
      </c>
      <c r="C4" s="48" t="inlineStr">
        <is>
          <t>Base de datos</t>
        </is>
      </c>
      <c r="D4" s="48" t="inlineStr">
        <is>
          <t>Cadena de búsqueda exacta</t>
        </is>
      </c>
      <c r="E4" s="48" t="inlineStr">
        <is>
          <t>Campos</t>
        </is>
      </c>
      <c r="F4" s="48" t="inlineStr">
        <is>
          <t>Filtros (años/idioma)</t>
        </is>
      </c>
      <c r="G4" s="48" t="inlineStr">
        <is>
          <t>Fecha de búsqueda</t>
        </is>
      </c>
      <c r="H4" s="48" t="inlineStr">
        <is>
          <t>N.º resultados</t>
        </is>
      </c>
      <c r="I4" s="48" t="inlineStr">
        <is>
          <t>Notas</t>
        </is>
      </c>
    </row>
    <row r="5" ht="55.2" customHeight="1" s="34">
      <c r="A5" s="48" t="n">
        <v>1</v>
      </c>
      <c r="B5" s="48" t="inlineStr">
        <is>
          <t>TODOS</t>
        </is>
      </c>
      <c r="C5" s="48" t="inlineStr">
        <is>
          <t>Scopus</t>
        </is>
      </c>
      <c r="D5" s="48" t="inlineStr">
        <is>
          <t>TITLE-ABS-KEY(("avocado" OR "Persea americana") AND ("leaf" OR "leaves" OR "foliar") AND ("disease" OR "pathogen" OR "pest" OR "symptom"))</t>
        </is>
      </c>
      <c r="E5" s="48" t="inlineStr">
        <is>
          <t>Título-Resumen-Keywords</t>
        </is>
      </c>
      <c r="F5" s="48" t="inlineStr">
        <is>
          <t>2010-2026; es/en</t>
        </is>
      </c>
      <c r="G5" s="48" t="inlineStr">
        <is>
          <t>2026-09-21</t>
        </is>
      </c>
      <c r="H5" s="19" t="n"/>
      <c r="I5" s="48" t="inlineStr">
        <is>
          <t>Búsqueda amplia para enfermedades y plagas foliares.</t>
        </is>
      </c>
    </row>
    <row r="6" ht="27.6" customHeight="1" s="34">
      <c r="A6" s="48" t="n">
        <v>2</v>
      </c>
      <c r="B6" s="48" t="inlineStr">
        <is>
          <t>Antracnosis</t>
        </is>
      </c>
      <c r="C6" s="48" t="inlineStr">
        <is>
          <t>Scopus</t>
        </is>
      </c>
      <c r="D6" s="48" t="inlineStr">
        <is>
          <t>TITLE-ABS-KEY(("avocado" OR "Persea americana") AND ("leaf" OR "leaves" OR "foliar") AND ("anthracnose" OR "Colletotrichum"))</t>
        </is>
      </c>
      <c r="E6" s="48" t="inlineStr">
        <is>
          <t>Título-Resumen-Keywords</t>
        </is>
      </c>
      <c r="F6" s="48" t="inlineStr">
        <is>
          <t>2010-2026; es/en</t>
        </is>
      </c>
      <c r="G6" s="48" t="inlineStr">
        <is>
          <t>2026-09-21</t>
        </is>
      </c>
      <c r="H6" s="19" t="n"/>
      <c r="I6" s="48" t="inlineStr">
        <is>
          <t>Prioridad alta por lesiones foliares y detección visual.</t>
        </is>
      </c>
    </row>
    <row r="7" ht="27.6" customHeight="1" s="34">
      <c r="A7" s="48" t="n">
        <v>3</v>
      </c>
      <c r="B7" s="48" t="inlineStr">
        <is>
          <t>Cercospora</t>
        </is>
      </c>
      <c r="C7" s="48" t="inlineStr">
        <is>
          <t>Scopus</t>
        </is>
      </c>
      <c r="D7" s="48" t="inlineStr">
        <is>
          <t>TITLE-ABS-KEY(("avocado" OR "Persea americana") AND ("Pseudocercospora purpurea" OR "Cercospora purpurea" OR "black spot" OR "Cercospora spot") AND ("leaf" OR "foliar" OR "leaves"))</t>
        </is>
      </c>
      <c r="E7" s="48" t="inlineStr">
        <is>
          <t>Título-Resumen-Keywords</t>
        </is>
      </c>
      <c r="F7" s="48" t="inlineStr">
        <is>
          <t>2010-2026; es/en</t>
        </is>
      </c>
      <c r="G7" s="48" t="inlineStr">
        <is>
          <t>2026-09-21</t>
        </is>
      </c>
      <c r="H7" s="19" t="n"/>
      <c r="I7" s="48" t="inlineStr">
        <is>
          <t>Mancha negra y síntomas visuales.</t>
        </is>
      </c>
    </row>
    <row r="8" ht="27.6" customHeight="1" s="34">
      <c r="A8" s="48" t="n">
        <v>4</v>
      </c>
      <c r="B8" s="48" t="inlineStr">
        <is>
          <t>Acaros</t>
        </is>
      </c>
      <c r="C8" s="48" t="inlineStr">
        <is>
          <t>Scopus</t>
        </is>
      </c>
      <c r="D8" s="48" t="inlineStr">
        <is>
          <t>TITLE-ABS-KEY(("avocado" OR "Persea americana") AND ("Oligonychus perseae" OR "Oligonychus punicae" OR "spider mite" OR "red mite") AND ("leaf" OR "foliar" OR "chlorophyll"))</t>
        </is>
      </c>
      <c r="E8" s="48" t="inlineStr">
        <is>
          <t>Título-Resumen-Keywords</t>
        </is>
      </c>
      <c r="F8" s="48" t="inlineStr">
        <is>
          <t>2010-2026; es/en</t>
        </is>
      </c>
      <c r="G8" s="48" t="inlineStr">
        <is>
          <t>2026-09-21</t>
        </is>
      </c>
      <c r="H8" s="19" t="n"/>
      <c r="I8" s="48" t="inlineStr">
        <is>
          <t>Plagas foliares con síntomas visuales.</t>
        </is>
      </c>
    </row>
    <row r="9" ht="27.6" customHeight="1" s="34">
      <c r="A9" s="48" t="n">
        <v>5</v>
      </c>
      <c r="B9" s="48" t="inlineStr">
        <is>
          <t>Tizon foliar</t>
        </is>
      </c>
      <c r="C9" s="48" t="inlineStr">
        <is>
          <t>Scopus</t>
        </is>
      </c>
      <c r="D9" s="48" t="inlineStr">
        <is>
          <t>TITLE-ABS-KEY(("avocado" OR "Persea americana") AND ("leaf blight" OR "foliar blight" OR "necrotic leaf lesion") AND ("Pestalotiopsis" OR "Neopestalotiopsis" OR "Pseudopestalotiopsis" OR "Colletotrichum fructicola"))</t>
        </is>
      </c>
      <c r="E9" s="48" t="inlineStr">
        <is>
          <t>Título-Resumen-Keywords</t>
        </is>
      </c>
      <c r="F9" s="48" t="inlineStr">
        <is>
          <t>2010-2026; es/en</t>
        </is>
      </c>
      <c r="G9" s="48" t="inlineStr">
        <is>
          <t>2026-09-21</t>
        </is>
      </c>
      <c r="H9" s="19" t="n"/>
      <c r="I9" s="48" t="inlineStr">
        <is>
          <t>Tizón, lesiones necróticas y diagnóstico diferencial.</t>
        </is>
      </c>
    </row>
    <row r="10" ht="27.6" customHeight="1" s="34">
      <c r="A10" s="48" t="n">
        <v>6</v>
      </c>
      <c r="B10" s="48" t="inlineStr">
        <is>
          <t>Agallas foliares</t>
        </is>
      </c>
      <c r="C10" s="48" t="inlineStr">
        <is>
          <t>Scopus</t>
        </is>
      </c>
      <c r="D10" s="48" t="inlineStr">
        <is>
          <t>TITLE-ABS-KEY(("avocado" OR "Persea americana") AND ("leaf gall" OR "foliar gall" OR "Trioza anceps" OR "Trioza perseae"))</t>
        </is>
      </c>
      <c r="E10" s="48" t="inlineStr">
        <is>
          <t>Título-Resumen-Keywords</t>
        </is>
      </c>
      <c r="F10" s="48" t="inlineStr">
        <is>
          <t>2010-2026; es/en</t>
        </is>
      </c>
      <c r="G10" s="48" t="inlineStr">
        <is>
          <t>2026-09-21</t>
        </is>
      </c>
      <c r="H10" s="19" t="n"/>
      <c r="I10" s="48" t="inlineStr">
        <is>
          <t>Clase visual potencial.</t>
        </is>
      </c>
    </row>
    <row r="11" ht="27.6" customHeight="1" s="34">
      <c r="A11" s="48" t="n">
        <v>7</v>
      </c>
      <c r="B11" s="48" t="inlineStr">
        <is>
          <t>Vision artificial</t>
        </is>
      </c>
      <c r="C11" s="48" t="inlineStr">
        <is>
          <t>IEEE Xplore</t>
        </is>
      </c>
      <c r="D11" s="48" t="inlineStr">
        <is>
          <t>("avocado" AND "leaf disease") OR ("avocado" AND "leaf disease classification")</t>
        </is>
      </c>
      <c r="E11" s="48" t="inlineStr">
        <is>
          <t>Metadata IEEE</t>
        </is>
      </c>
      <c r="F11" s="48" t="inlineStr">
        <is>
          <t>2010-2026; es/en</t>
        </is>
      </c>
      <c r="G11" s="48" t="inlineStr">
        <is>
          <t>2026-09-21</t>
        </is>
      </c>
      <c r="H11" s="19" t="n"/>
      <c r="I11" s="48" t="inlineStr">
        <is>
          <t>Cadena específica IEEE para clasificación de hojas de aguacate.</t>
        </is>
      </c>
    </row>
    <row r="12">
      <c r="A12" s="48" t="n">
        <v>8</v>
      </c>
      <c r="B12" s="48" t="inlineStr">
        <is>
          <t>Vision artificial</t>
        </is>
      </c>
      <c r="C12" s="48" t="inlineStr">
        <is>
          <t>IEEE Xplore</t>
        </is>
      </c>
      <c r="D12" s="48" t="inlineStr">
        <is>
          <t>("plant leaf disease" AND ("computer vision" OR "artificial intelligence" OR "deep learning"))</t>
        </is>
      </c>
      <c r="E12" s="48" t="inlineStr">
        <is>
          <t>Metadata IEEE</t>
        </is>
      </c>
      <c r="F12" s="48" t="inlineStr">
        <is>
          <t>2010-2026; es/en</t>
        </is>
      </c>
      <c r="G12" s="48" t="inlineStr">
        <is>
          <t>2026-09-21</t>
        </is>
      </c>
      <c r="H12" s="19" t="n"/>
      <c r="I12" s="48" t="inlineStr">
        <is>
          <t>Antecedentes metodológicos generales.</t>
        </is>
      </c>
    </row>
    <row r="13">
      <c r="A13" s="48" t="n">
        <v>9</v>
      </c>
      <c r="B13" s="48" t="inlineStr">
        <is>
          <t>YOLO</t>
        </is>
      </c>
      <c r="C13" s="48" t="inlineStr">
        <is>
          <t>IEEE Xplore</t>
        </is>
      </c>
      <c r="D13" s="48" t="inlineStr">
        <is>
          <t>("plant leaf disease" AND YOLO) OR ("leaf disease" AND "object detection")</t>
        </is>
      </c>
      <c r="E13" s="48" t="inlineStr">
        <is>
          <t>Metadata IEEE</t>
        </is>
      </c>
      <c r="F13" s="48" t="inlineStr">
        <is>
          <t>2010-2026; es/en</t>
        </is>
      </c>
      <c r="G13" s="48" t="inlineStr">
        <is>
          <t>2026-09-21</t>
        </is>
      </c>
      <c r="H13" s="19" t="n"/>
      <c r="I13" s="48" t="inlineStr">
        <is>
          <t>Detección en tiempo real y modelos livianos.</t>
        </is>
      </c>
    </row>
    <row r="14">
      <c r="A14" s="48" t="n">
        <v>10</v>
      </c>
      <c r="B14" s="48" t="inlineStr">
        <is>
          <t>App móvil</t>
        </is>
      </c>
      <c r="C14" s="48" t="inlineStr">
        <is>
          <t>Scopus/IEEE/WoS</t>
        </is>
      </c>
      <c r="D14" s="48" t="inlineStr">
        <is>
          <t>("plant disease" OR "leaf disease") AND ("mobile application" OR smartphone OR Android) AND ("deep learning" OR CNN OR "computer vision")</t>
        </is>
      </c>
      <c r="E14" s="48" t="inlineStr">
        <is>
          <t>Título-Resumen-Keywords</t>
        </is>
      </c>
      <c r="F14" s="48" t="inlineStr">
        <is>
          <t>2010-2026; es/en</t>
        </is>
      </c>
      <c r="G14" s="48" t="inlineStr">
        <is>
          <t>2026-09-21</t>
        </is>
      </c>
      <c r="H14" s="19" t="n"/>
      <c r="I14" s="48" t="inlineStr">
        <is>
          <t>Para justificar integración futura en app móvil.</t>
        </is>
      </c>
    </row>
  </sheetData>
  <autoFilter ref="A4:I14"/>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2"/>
  <sheetViews>
    <sheetView topLeftCell="A50" zoomScale="95" zoomScaleNormal="95" workbookViewId="0">
      <pane ySplit="3" topLeftCell="A4" activePane="bottomLeft" state="frozen"/>
      <selection pane="bottomLeft" activeCell="D57" sqref="D57"/>
    </sheetView>
  </sheetViews>
  <sheetFormatPr baseColWidth="10" defaultColWidth="8.88671875" defaultRowHeight="14.4"/>
  <cols>
    <col width="10" customWidth="1" style="34" min="1" max="1"/>
    <col width="18" customWidth="1" style="34" min="2" max="2"/>
    <col width="55" customWidth="1" style="34" min="3" max="3"/>
    <col width="36" customWidth="1" style="34" min="4" max="4"/>
    <col width="10" customWidth="1" style="34" min="5" max="5"/>
    <col width="24" customWidth="1" style="34" min="6" max="6"/>
    <col width="45" customWidth="1" style="34" min="7" max="7"/>
    <col width="70" customWidth="1" style="34" min="8" max="8"/>
    <col width="20" customWidth="1" style="34" min="9" max="9"/>
    <col width="28" customWidth="1" style="34" min="10" max="10"/>
    <col width="22" customWidth="1" style="34" min="11" max="11"/>
    <col width="65" customWidth="1" style="34" min="12" max="12"/>
  </cols>
  <sheetData>
    <row r="1" ht="17.55" customHeight="1" s="34">
      <c r="A1" s="49" t="inlineStr">
        <is>
          <t>Base_consolidada</t>
        </is>
      </c>
    </row>
    <row r="2" ht="28.8" customHeight="1" s="34">
      <c r="A2" s="33" t="inlineStr">
        <is>
          <t>Base consolidada V1.2 con toda la bibliografía local disponible en la carpeta Bibliografia. Registros únicos cargados: 49.</t>
        </is>
      </c>
    </row>
    <row r="3" ht="28.8" customHeight="1" s="34">
      <c r="A3" s="50" t="inlineStr">
        <is>
          <t>ID</t>
        </is>
      </c>
      <c r="B3" s="50" t="inlineStr">
        <is>
          <t>Base de datos</t>
        </is>
      </c>
      <c r="C3" s="50" t="inlineStr">
        <is>
          <t>Título completo</t>
        </is>
      </c>
      <c r="D3" s="50" t="inlineStr">
        <is>
          <t>Autores</t>
        </is>
      </c>
      <c r="E3" s="50" t="inlineStr">
        <is>
          <t>Año</t>
        </is>
      </c>
      <c r="F3" s="50" t="inlineStr">
        <is>
          <t>DOI</t>
        </is>
      </c>
      <c r="G3" s="50" t="inlineStr">
        <is>
          <t>Keywords</t>
        </is>
      </c>
      <c r="H3" s="50" t="inlineStr">
        <is>
          <t>Abstract</t>
        </is>
      </c>
      <c r="I3" s="50" t="inlineStr">
        <is>
          <t>Tipo de documento</t>
        </is>
      </c>
      <c r="J3" s="50" t="inlineStr">
        <is>
          <t>Fuente / Revista</t>
        </is>
      </c>
      <c r="K3" s="50" t="inlineStr">
        <is>
          <t>Estado inicial</t>
        </is>
      </c>
      <c r="L3" s="50" t="inlineStr">
        <is>
          <t>Registro fuente</t>
        </is>
      </c>
    </row>
    <row r="4" ht="60" customHeight="1" s="34">
      <c r="A4" s="62" t="inlineStr">
        <is>
          <t>B0001</t>
        </is>
      </c>
      <c r="B4" s="62" t="inlineStr">
        <is>
          <t>Web / DOI</t>
        </is>
      </c>
      <c r="C4" s="62" t="inlineStr">
        <is>
          <t>07 Agallas Trioza anceps Torres Gurrola 2011 UNAM</t>
        </is>
      </c>
      <c r="D4" s="62" t="inlineStr"/>
      <c r="E4" s="62" t="n"/>
      <c r="F4" s="62" t="inlineStr"/>
      <c r="G4" s="62" t="inlineStr">
        <is>
          <t>Agallas foliares</t>
        </is>
      </c>
      <c r="H4" s="62" t="inlineStr">
        <is>
          <t>https://tesiunamdocumentos.dgb.unam.mx/ptb2011/septiembre/0672711/0672711_A1.pdf</t>
        </is>
      </c>
      <c r="I4" s="62" t="inlineStr">
        <is>
          <t>Enlace / recurso web</t>
        </is>
      </c>
      <c r="J4" s="62" t="inlineStr">
        <is>
          <t>tesiunamdocumentos.dgb.unam.mx</t>
        </is>
      </c>
      <c r="K4" s="62" t="inlineStr">
        <is>
          <t>Enlace local</t>
        </is>
      </c>
      <c r="L4" s="63" t="inlineStr">
        <is>
          <t>C:\Users\plusm\Desktop\Tesis\Bibliografia\_Bibliografia adicional 2026\07_Agallas_Trioza_anceps_Torres_Gurrola_2011_UNAM.url</t>
        </is>
      </c>
    </row>
    <row r="5" ht="60" customHeight="1" s="34">
      <c r="A5" s="62" t="inlineStr">
        <is>
          <t>B0002</t>
        </is>
      </c>
      <c r="B5" s="62" t="inlineStr">
        <is>
          <t>Web / DOI</t>
        </is>
      </c>
      <c r="C5" s="62" t="inlineStr">
        <is>
          <t>08 Agallas Trioza anceps Rincon Hernandez 2008</t>
        </is>
      </c>
      <c r="D5" s="62" t="inlineStr"/>
      <c r="E5" s="62" t="n"/>
      <c r="F5" s="62" t="inlineStr"/>
      <c r="G5" s="62" t="inlineStr">
        <is>
          <t>Agallas foliares</t>
        </is>
      </c>
      <c r="H5" s="62" t="inlineStr">
        <is>
          <t>https://indianjournals.com/article/aj-21-1-015</t>
        </is>
      </c>
      <c r="I5" s="62" t="inlineStr">
        <is>
          <t>Enlace / recurso web</t>
        </is>
      </c>
      <c r="J5" s="62" t="inlineStr">
        <is>
          <t>indianjournals.com</t>
        </is>
      </c>
      <c r="K5" s="62" t="inlineStr">
        <is>
          <t>Enlace local</t>
        </is>
      </c>
      <c r="L5" s="63" t="inlineStr">
        <is>
          <t>C:\Users\plusm\Desktop\Tesis\Bibliografia\_Bibliografia adicional 2026\08_Agallas_Trioza_anceps_Rincon_Hernandez_2008.url</t>
        </is>
      </c>
    </row>
    <row r="6" ht="60" customHeight="1" s="34">
      <c r="A6" s="62" t="inlineStr">
        <is>
          <t>B0003</t>
        </is>
      </c>
      <c r="B6" s="62" t="inlineStr">
        <is>
          <t>BibTeX</t>
        </is>
      </c>
      <c r="C6" s="62" t="inlineStr">
        <is>
          <t>Relationship between the phytochemical diversity in creole avocado (Persea americana var. drymifolia) leaves and the incidence of foliar gall psyllid (Trioza anceps)</t>
        </is>
      </c>
      <c r="D6" s="62" t="inlineStr">
        <is>
          <t>Rincón-Hernández, Cintia A. and Espinosa-García, Francisco J.</t>
        </is>
      </c>
      <c r="E6" s="62" t="n">
        <v>2008</v>
      </c>
      <c r="F6" s="62" t="inlineStr"/>
      <c r="G6" s="62" t="inlineStr"/>
      <c r="H6" s="62" t="inlineStr"/>
      <c r="I6" s="62" t="inlineStr">
        <is>
          <t>Artículo referenciado</t>
        </is>
      </c>
      <c r="J6" s="62" t="inlineStr">
        <is>
          <t>Allelopathy Journal</t>
        </is>
      </c>
      <c r="K6" s="62" t="inlineStr">
        <is>
          <t>Entrada BibTeX</t>
        </is>
      </c>
      <c r="L6" s="63" t="inlineStr">
        <is>
          <t>C:\Users\plusm\Desktop\Tesis\Bibliografia\_Bibliografia adicional 2026\bibliografia_adicional.bib</t>
        </is>
      </c>
    </row>
    <row r="7" ht="60" customHeight="1" s="34">
      <c r="A7" s="62" t="inlineStr">
        <is>
          <t>B0004</t>
        </is>
      </c>
      <c r="B7" s="62" t="inlineStr">
        <is>
          <t>BibTeX</t>
        </is>
      </c>
      <c r="C7" s="62" t="inlineStr">
        <is>
          <t>The foliar chemical profile of criollo avocado, Persea americana var. drymifolia (Lauraceae), and its relationship with the incidence of a gall-forming insect, Trioza anceps (Triozidae)</t>
        </is>
      </c>
      <c r="D7" s="62" t="inlineStr">
        <is>
          <t>Torres-Gurrola, Guadalupe and Delgado-Lamas, Guillermo and Espinosa-García, Francisco J.</t>
        </is>
      </c>
      <c r="E7" s="62" t="n">
        <v>2011</v>
      </c>
      <c r="F7" s="62" t="inlineStr">
        <is>
          <t>10.1016/j.bse.2011.01.011</t>
        </is>
      </c>
      <c r="G7" s="62" t="inlineStr"/>
      <c r="H7" s="62" t="inlineStr"/>
      <c r="I7" s="62" t="inlineStr">
        <is>
          <t>Artículo referenciado</t>
        </is>
      </c>
      <c r="J7" s="62" t="inlineStr">
        <is>
          <t>Biochemical Systematics and Ecology</t>
        </is>
      </c>
      <c r="K7" s="62" t="inlineStr">
        <is>
          <t>Entrada BibTeX</t>
        </is>
      </c>
      <c r="L7" s="63" t="inlineStr">
        <is>
          <t>C:\Users\plusm\Desktop\Tesis\Bibliografia\_Bibliografia adicional 2026\bibliografia_adicional.bib</t>
        </is>
      </c>
    </row>
    <row r="8" ht="60" customHeight="1" s="34">
      <c r="A8" s="62" t="inlineStr">
        <is>
          <t>B0005</t>
        </is>
      </c>
      <c r="B8" s="62" t="inlineStr">
        <is>
          <t>PDF local</t>
        </is>
      </c>
      <c r="C8" s="62" t="inlineStr">
        <is>
          <t>Silica-based nanomaterials for the control of Trioza anceps: Laboratory bioassays and preliminary field observations</t>
        </is>
      </c>
      <c r="D8" s="62" t="inlineStr"/>
      <c r="E8" s="62" t="n">
        <v>2026</v>
      </c>
      <c r="F8" s="62" t="inlineStr">
        <is>
          <t>10.1007/s10971-026-07179-z</t>
        </is>
      </c>
      <c r="G8" s="62" t="inlineStr">
        <is>
          <t>Agallas foliares</t>
        </is>
      </c>
      <c r="H8" s="62" t="inlineStr">
        <is>
          <t>Journal of Sol-Gel Science and Technology (2026) 118:59 https://doi.org/10.1007/s10971-026-07179-z ORIGINAL PAPER Silica-based nanomaterials for the control of Trioza anceps: Laboratory bioassays and preliminary ﬁeld observations G. Cinto-Alarcon 1 ● J. A. Moreno-Rodríguez 2 ● A. Aragón-García 1 ● L. A. Moreno-Rodríguez 3 ● E. A. Valdez-Torija 3 ● E. Rubio-Rosas 4 Received: 5 January 2026 / Accepted: 16 April 2026 / Published online: 26 May 2026 © The Author(s) 2026 Abstract It is known that four Trioza species attack avocado foliage, with Trioza anceps Tuthill (commonly called the avocado psyllid) being a widespread pest in Mexico and Central America. Both nymphs and adults feed on young leaf sap, but the nymphs induce avocado leaf galls by injecting a toxin during feeding, triggering tissue hyperplasia and hypertrophy. This leads to severe leaf deformations, stunted tree growth, and overall decline in plant health [ 1]. The aim of the present research was to evaluate the ef ﬁcacy of</t>
        </is>
      </c>
      <c r="I8" s="62" t="inlineStr">
        <is>
          <t>PDF / artículo</t>
        </is>
      </c>
      <c r="J8" s="62" t="inlineStr">
        <is>
          <t>Journal of Sol-Gel Science and Technology, doi:10.1007/s10971-026-07179-z</t>
        </is>
      </c>
      <c r="K8" s="62" t="inlineStr">
        <is>
          <t>PDF local</t>
        </is>
      </c>
      <c r="L8" s="63" t="inlineStr">
        <is>
          <t>C:\Users\plusm\Desktop\Tesis\Bibliografia\Agallas foliares\s10971-026-07179-z.pdf</t>
        </is>
      </c>
    </row>
    <row r="9" ht="60" customHeight="1" s="34">
      <c r="A9" s="62" t="inlineStr">
        <is>
          <t>B0006</t>
        </is>
      </c>
      <c r="B9" s="62" t="inlineStr">
        <is>
          <t>Web / DOI</t>
        </is>
      </c>
      <c r="C9" s="62" t="inlineStr">
        <is>
          <t>01 Antracnosis Uysal Kurt 2020</t>
        </is>
      </c>
      <c r="D9" s="62" t="inlineStr"/>
      <c r="E9" s="62" t="n"/>
      <c r="F9" s="62" t="inlineStr">
        <is>
          <t>10.1016/j.cropro.2020.105145</t>
        </is>
      </c>
      <c r="G9" s="62" t="inlineStr">
        <is>
          <t>Antracnosis</t>
        </is>
      </c>
      <c r="H9" s="62" t="inlineStr">
        <is>
          <t>https://doi.org/10.1016/j.cropro.2020.105145</t>
        </is>
      </c>
      <c r="I9" s="62" t="inlineStr">
        <is>
          <t>Enlace / recurso web</t>
        </is>
      </c>
      <c r="J9" s="62" t="inlineStr">
        <is>
          <t>doi.org</t>
        </is>
      </c>
      <c r="K9" s="62" t="inlineStr">
        <is>
          <t>Enlace local</t>
        </is>
      </c>
      <c r="L9" s="63" t="inlineStr">
        <is>
          <t>C:\Users\plusm\Desktop\Tesis\Bibliografia\_Bibliografia adicional 2026\01_Antracnosis_Uysal_Kurt_2020.url</t>
        </is>
      </c>
    </row>
    <row r="10" ht="60" customHeight="1" s="34">
      <c r="A10" s="62" t="inlineStr">
        <is>
          <t>B0007</t>
        </is>
      </c>
      <c r="B10" s="62" t="inlineStr">
        <is>
          <t>IEEE Xplore</t>
        </is>
      </c>
      <c r="C10" s="62" t="inlineStr">
        <is>
          <t>Unified Approach for Avocado Leaf Disease Classification CNN-SVM Fusion</t>
        </is>
      </c>
      <c r="D10" s="62" t="inlineStr"/>
      <c r="E10" s="62" t="n"/>
      <c r="F10" s="62" t="inlineStr"/>
      <c r="G10" s="62" t="inlineStr">
        <is>
          <t>Antracnosis</t>
        </is>
      </c>
      <c r="H10" s="62" t="inlineStr">
        <is>
          <t>https://ieeexplore.ieee.org/document/10544074</t>
        </is>
      </c>
      <c r="I10" s="62" t="inlineStr">
        <is>
          <t>Enlace / recurso web</t>
        </is>
      </c>
      <c r="J10" s="62" t="inlineStr">
        <is>
          <t>ieeexplore.ieee.org</t>
        </is>
      </c>
      <c r="K10" s="62" t="inlineStr">
        <is>
          <t>Enlace local</t>
        </is>
      </c>
      <c r="L10" s="63" t="inlineStr">
        <is>
          <t>C:\Users\plusm\Desktop\Tesis\Bibliografia\Antracnosis\IEEE Xplore\Unified Approach for Avocado Leaf Disease Classification_ CNN-SVM Fusion.url</t>
        </is>
      </c>
    </row>
    <row r="11" ht="60" customHeight="1" s="34">
      <c r="A11" s="62" t="inlineStr">
        <is>
          <t>B0008</t>
        </is>
      </c>
      <c r="B11" s="62" t="inlineStr">
        <is>
          <t>Scopus</t>
        </is>
      </c>
      <c r="C11" s="62" t="inlineStr">
        <is>
          <t>Identification of pathogen species of avocado leaf anthracnose in Chongzuo, Guangxi; [广西崇左油梨叶部炭疽病病原菌分离与鉴定]</t>
        </is>
      </c>
      <c r="D11" s="62" t="inlineStr">
        <is>
          <t>Fan Z.; Lu Y.; Wang W.; Lin C.</t>
        </is>
      </c>
      <c r="E11" s="62" t="n">
        <v>2023</v>
      </c>
      <c r="F11" s="62" t="inlineStr">
        <is>
          <t>10.13926/j.cnki.apps.000812</t>
        </is>
      </c>
      <c r="G11" s="62" t="inlineStr"/>
      <c r="H11" s="62" t="inlineStr"/>
      <c r="I11" s="62" t="inlineStr">
        <is>
          <t>Article</t>
        </is>
      </c>
      <c r="J11" s="62" t="inlineStr">
        <is>
          <t>Acta Phytopathologica Sinica</t>
        </is>
      </c>
      <c r="K11" s="62" t="inlineStr">
        <is>
          <t>Exportado de Scopus</t>
        </is>
      </c>
      <c r="L11" s="63" t="inlineStr">
        <is>
          <t>C:\Users\plusm\Desktop\Tesis\Bibliografia\Antracnosis\scopus_export_Sep 9-2026_f215638f-fffb-429f-adc7-ae9f84755503.csv</t>
        </is>
      </c>
    </row>
    <row r="12" ht="60" customHeight="1" s="34">
      <c r="A12" s="62" t="inlineStr">
        <is>
          <t>B0009</t>
        </is>
      </c>
      <c r="B12" s="62" t="inlineStr">
        <is>
          <t>PDF local</t>
        </is>
      </c>
      <c r="C12" s="62" t="inlineStr">
        <is>
          <t>Colletotrichum fructicola Causes Necrotic Leaf Lesions in Avocado (Persea americana) in Amazonas, Peru: First Record and In Vitro Control Using Piper Essential Oils</t>
        </is>
      </c>
      <c r="D12" s="62" t="inlineStr"/>
      <c r="E12" s="62" t="n">
        <v>2025</v>
      </c>
      <c r="F12" s="62" t="inlineStr"/>
      <c r="G12" s="62" t="inlineStr">
        <is>
          <t>Antracnosis</t>
        </is>
      </c>
      <c r="H12" s="62" t="inlineStr">
        <is>
          <t>Academic Editor: Adriano Sofo Received: 5 December 2025 Revised: 28 January 2026 Accepted: 3 February 2026 Published: 9 February 2026 Copyright: © 2026 by the authors. Licensee MDPI, Basel, Switzerland. This article is an open access article distributed under the terms and conditions of the Creative Commons Attribution (CC BY) license. Article Colletotrichum fructicola Causes Necrotic Leaf Lesions in Avocado (Persea americana) in Amazonas, Peru: First Record and In Vitro Control Using Piper Essential Oils Marly Guelac-Santillan 1,2 , Jherson Rojas-Vargas 1, Elmer Chávez-Chacón 1, Eryka Gaslac-Zumaeta 1 , Manuel Oliva-Cruz 1,3, * and Angel F. Huaman-Pilco 1,2, * 1 Grupo de Investigación en Patología Intracelular de Plantas, Instituto de Investigación para el Desarrollo Sustentable de Ceja de Selva, Universidad Nacional Toribio Rodríguez de Mendoza de Amazonas, Chachapoyas 01001, Amazonas, Peru; marly.guelac@untrm.edu.pe (M.G.-S.); rojasvargasjherson6@gmail.com (J.R.-V .); 7455977721@unt</t>
        </is>
      </c>
      <c r="I12" s="62" t="inlineStr">
        <is>
          <t>PDF / artículo</t>
        </is>
      </c>
      <c r="J12" s="62" t="inlineStr">
        <is>
          <t>Anthracnose is one of the most destructive diseases of avocado worldwide; however, foliar infections remain poorly documented in Peru. We investigated the etiology of necrotic leaf lesions observed in avocado plantations in Amazonas and assessed t...</t>
        </is>
      </c>
      <c r="K12" s="62" t="inlineStr">
        <is>
          <t>PDF local</t>
        </is>
      </c>
      <c r="L12" s="63" t="inlineStr">
        <is>
          <t>C:\Users\plusm\Desktop\Tesis\Bibliografia\Tizón de la hoja\ijpb-17-00010.pdf</t>
        </is>
      </c>
    </row>
    <row r="13" ht="60" customHeight="1" s="34">
      <c r="A13" s="62" t="inlineStr">
        <is>
          <t>B0010</t>
        </is>
      </c>
      <c r="B13" s="62" t="inlineStr">
        <is>
          <t>Scopus</t>
        </is>
      </c>
      <c r="C13" s="62" t="inlineStr">
        <is>
          <t>Real-Time Avocado Plant Health and Disease Detection Using UAV Imagery with Faster R-CNN Algorithm</t>
        </is>
      </c>
      <c r="D13" s="62" t="inlineStr">
        <is>
          <t>Karthik R.P.; Rithika K.V.; Ramana M.; Rakshith S.</t>
        </is>
      </c>
      <c r="E13" s="62" t="n">
        <v>2025</v>
      </c>
      <c r="F13" s="62" t="inlineStr">
        <is>
          <t>10.1109/ICOECA66273.2025.00181</t>
        </is>
      </c>
      <c r="G13" s="62" t="inlineStr"/>
      <c r="H13" s="62" t="inlineStr"/>
      <c r="I13" s="62" t="inlineStr">
        <is>
          <t>Conference paper</t>
        </is>
      </c>
      <c r="J13" s="62" t="inlineStr"/>
      <c r="K13" s="62" t="inlineStr">
        <is>
          <t>Exportado de Scopus</t>
        </is>
      </c>
      <c r="L13" s="63" t="inlineStr">
        <is>
          <t>C:\Users\plusm\Desktop\Tesis\Bibliografia\Antracnosis\scopus_export_Sep 9-2026_f215638f-fffb-429f-adc7-ae9f84755503.csv</t>
        </is>
      </c>
    </row>
    <row r="14" ht="60" customHeight="1" s="34">
      <c r="A14" s="62" t="inlineStr">
        <is>
          <t>B0011</t>
        </is>
      </c>
      <c r="B14" s="62" t="inlineStr">
        <is>
          <t>Springer</t>
        </is>
      </c>
      <c r="C14" s="62" t="inlineStr">
        <is>
          <t>Burkholderia contaminans siderophore‑rich supernatants suppress post‑harvest anthracnose in avocado fruits Coyolxauhqui Barrera‑Galicia1 · Sergio A</t>
        </is>
      </c>
      <c r="D14" s="62" t="inlineStr"/>
      <c r="E14" s="62" t="n">
        <v>2026</v>
      </c>
      <c r="F14" s="62" t="inlineStr">
        <is>
          <t>10.1007/s00253-026-13715-2</t>
        </is>
      </c>
      <c r="G14" s="62" t="inlineStr">
        <is>
          <t>Antracnosis</t>
        </is>
      </c>
      <c r="H14" s="62" t="inlineStr">
        <is>
          <t>Vol.:(0123456789) Applied Microbiology and Biotechnology (2026) 110:35 https://doi.org/10.1007/s00253-026-13715-2 RESEARCH Burkholderia contaminans siderophore‑rich supernatants suppress post‑harvest anthracnose in avocado fruits Coyolxauhqui Barrera‑Galicia1 · Sergio A. Covarrubias1 · Juan Armando Flores de la Torre1 · Héctor A. Peniche‑Pávia3 · John P . Délano‑Frier2 Received: 4 August 2025 / Revised: 7 January 2026 / Accepted: 9 January 2026 © The Author(s) 2026 Abstract Siderophores are iron-chelating secondary metabolites that can effectively control fungal diseases in several agronomically important crops. In the present study, the bacterium Burkholderia contaminans MSR2 was found to profusely accumulate siderophores when grown under iron-limiting conditions. Therefore, subsequent experimental procedures were performed to determine whether the siderophore-rich supernatants of B. contaminans MSR2 were effective against anthracnose disease caused by Colletotrichum gloeosporioides i</t>
        </is>
      </c>
      <c r="I14" s="62" t="inlineStr">
        <is>
          <t>PDF / artículo</t>
        </is>
      </c>
      <c r="J14" s="62" t="inlineStr">
        <is>
          <t>Applied Microbiology and Biotechnology, https://doi.org/10.1007/s00253-026-13715-2</t>
        </is>
      </c>
      <c r="K14" s="62" t="inlineStr">
        <is>
          <t>PDF local</t>
        </is>
      </c>
      <c r="L14" s="63" t="inlineStr">
        <is>
          <t>C:\Users\plusm\Desktop\Tesis\Bibliografia\Antracnosis\Springer\s00253-026-13715-2.pdf</t>
        </is>
      </c>
    </row>
    <row r="15" ht="60" customHeight="1" s="34">
      <c r="A15" s="62" t="inlineStr">
        <is>
          <t>B0012</t>
        </is>
      </c>
      <c r="B15" s="62" t="inlineStr">
        <is>
          <t>Scopus</t>
        </is>
      </c>
      <c r="C15" s="62" t="inlineStr">
        <is>
          <t>Identification and Pathogenicity of Botryosphaeriaceae, Colletotrichum, and Phytophthora Species Associated with Avocado Diseases in Italy</t>
        </is>
      </c>
      <c r="D15" s="62" t="inlineStr">
        <is>
          <t>Linaldeddu B.T.; Bregant C.; Muscas J.; Maddau L.; Vecchio L.; Polizzi G.; Aiello D.</t>
        </is>
      </c>
      <c r="E15" s="62" t="n">
        <v>2026</v>
      </c>
      <c r="F15" s="62" t="inlineStr">
        <is>
          <t>10.3390/agriculture16101035</t>
        </is>
      </c>
      <c r="G15" s="62" t="inlineStr"/>
      <c r="H15" s="62" t="inlineStr"/>
      <c r="I15" s="62" t="inlineStr">
        <is>
          <t>Article</t>
        </is>
      </c>
      <c r="J15" s="62" t="inlineStr">
        <is>
          <t>Agriculture (Switzerland)</t>
        </is>
      </c>
      <c r="K15" s="62" t="inlineStr">
        <is>
          <t>Exportado de Scopus</t>
        </is>
      </c>
      <c r="L15" s="63" t="inlineStr">
        <is>
          <t>C:\Users\plusm\Desktop\Tesis\Bibliografia\Antracnosis\scopus_export_Sep 9-2026_f215638f-fffb-429f-adc7-ae9f84755503.csv</t>
        </is>
      </c>
    </row>
    <row r="16" ht="60" customHeight="1" s="34">
      <c r="A16" s="62" t="inlineStr">
        <is>
          <t>B0013</t>
        </is>
      </c>
      <c r="B16" s="62" t="inlineStr">
        <is>
          <t>PDF local</t>
        </is>
      </c>
      <c r="C16" s="62" t="inlineStr">
        <is>
          <t>s41598-026-50025-z</t>
        </is>
      </c>
      <c r="D16" s="62" t="inlineStr"/>
      <c r="E16" s="62" t="n">
        <v>2026</v>
      </c>
      <c r="F16" s="62" t="inlineStr">
        <is>
          <t>10.1038/s41598-026-50025-z</t>
        </is>
      </c>
      <c r="G16" s="62" t="inlineStr">
        <is>
          <t>Antracnosis</t>
        </is>
      </c>
      <c r="H16" s="62" t="inlineStr">
        <is>
          <t>OPEN Scientific Reports | (2026) 16:17129 1| https://doi.org/10.1038/s41598-026-50025-z Spectrally optimised YOLOv10s- SeqOpt framework for real-time UAV-based early detection of avocado foliar diseases in indian orchards R. P . Karthik 1, Murugesan Govindasamy1, Suresh Muthusamy2 &amp; Abhinandan Routray3 Avocado orchards in southern India experience annual yield losses of 20–40% due to foliar pathogens, including Anthracnose (Colletotrichum Gloeosporioides), Root Rot (Phytophthora Cinnamomi), Algal Leaf Spot (Cephaleuros Virescens) and Scab (Elsinoe Perseae). Conventional field scouting and RGB based imaging are unable to detect early-stage infections beneath dense canopy cover, delaying timely intervention and contributing to excessive fungicide use. To address these limitations, this study introduces a UAV based multispectral-RGB imaging pipeline paired with a deep learning detection framework built from the YOLO family of models (YOLOv5s-YOLOv10s) evaluated on a field-collected datas</t>
        </is>
      </c>
      <c r="I16" s="62" t="inlineStr">
        <is>
          <t>PDF / artículo</t>
        </is>
      </c>
      <c r="J16" s="62" t="inlineStr">
        <is>
          <t>Antracnosis</t>
        </is>
      </c>
      <c r="K16" s="62" t="inlineStr">
        <is>
          <t>PDF local</t>
        </is>
      </c>
      <c r="L16" s="63" t="inlineStr">
        <is>
          <t>C:\Users\plusm\Desktop\Tesis\Bibliografia\Antracnosis\s41598-026-50025-z.pdf</t>
        </is>
      </c>
    </row>
    <row r="17" ht="60" customHeight="1" s="34">
      <c r="A17" s="62" t="inlineStr">
        <is>
          <t>B0014</t>
        </is>
      </c>
      <c r="B17" s="62" t="inlineStr">
        <is>
          <t>PDF local</t>
        </is>
      </c>
      <c r="C17" s="62" t="inlineStr">
        <is>
          <t>Spatial Mapping of Avocado Anthracnose Severity Using UAV-Derived Vegetation Indices in Amazonas, Peru</t>
        </is>
      </c>
      <c r="D17" s="62" t="inlineStr"/>
      <c r="E17" s="62" t="n">
        <v>2026</v>
      </c>
      <c r="F17" s="62" t="inlineStr"/>
      <c r="G17" s="62" t="inlineStr">
        <is>
          <t>Antracnosis</t>
        </is>
      </c>
      <c r="H17" s="62" t="inlineStr">
        <is>
          <t>Academic Editors: Bruno S. Faiçal and Bruno Bogaz Zarpelão Received: 14 January 2026 Revised: 30 July 2026 Accepted: 6 August 2026 Published: 16 August 2026 Copyright: © 2026 by the authors. Licensee MDPI, Basel, Switzerland. This article is an open access article distributed under the terms and conditions of the Creative Commons Attribution (CC BY) license. Article Spatial Mapping of Avocado Anthracnose Severity Using UA V-Derived Vegetation Indices in Amazonas, Peru Marly Guelac-Santillan 1,2,3, * , Julio Puscan-Rojas 3 , José Anderson Sánchez-Vega 3 , Angel Fernando Huaman-Pilco 2,3 , Angel J. Medina-Medina 3 , Katerin M. T uesta-Trauco3 , Jorge Marino Canta-Ventura 3, Elgar Barboza 3,4, * and Jhon A. Zabaleta-Santisteban 3 1 Grupo de Investigación en Patología Intracelular de Plantas, Instituto de Investigación para el Desarrollo Sustentable de Ceja de Selva, Universidad Nacional Toribio Rodríguez de Mendoza de Amazonas, Chachapoyas 01001, Peru 2 Grupo de Investigación en Raíces y</t>
        </is>
      </c>
      <c r="I17" s="62" t="inlineStr">
        <is>
          <t>PDF / artículo</t>
        </is>
      </c>
      <c r="J17" s="62" t="inlineStr">
        <is>
          <t>Unmanned aerial vehicle (UAV)-based multispectral remote sensing has emerged as a promising tool for monitoring crop physiological status and supporting precision disease management. However, the capacity of multispectral vegetation indices to det...</t>
        </is>
      </c>
      <c r="K17" s="62" t="inlineStr">
        <is>
          <t>PDF local</t>
        </is>
      </c>
      <c r="L17" s="63" t="inlineStr">
        <is>
          <t>C:\Users\plusm\Desktop\Tesis\Bibliografia\Antracnosis\agriengineering-08-00340.pdf</t>
        </is>
      </c>
    </row>
    <row r="18" ht="60" customHeight="1" s="34">
      <c r="A18" s="62" t="inlineStr">
        <is>
          <t>B0015</t>
        </is>
      </c>
      <c r="B18" s="62" t="inlineStr">
        <is>
          <t>Scopus</t>
        </is>
      </c>
      <c r="C18" s="62" t="inlineStr">
        <is>
          <t>Spatial Mapping of Avocado Anthracnose Severity Using UAV-Derived Vegetation Indices in Amazonas, Peru</t>
        </is>
      </c>
      <c r="D18" s="62" t="inlineStr">
        <is>
          <t>Guelac-Santillan M.; Puscan-Rojas J.; Sánchez-Vega J.A.; Huaman-Pilco A.F.; Medina-Medina A.J.; Tuesta-Trauco K.M.; Canta-Ventura J.M.; Barboza E.; Zabaleta-Santisteban J.A.</t>
        </is>
      </c>
      <c r="E18" s="62" t="n">
        <v>2026</v>
      </c>
      <c r="F18" s="62" t="inlineStr">
        <is>
          <t>10.3390/agriengineering8080340</t>
        </is>
      </c>
      <c r="G18" s="62" t="inlineStr"/>
      <c r="H18" s="62" t="inlineStr"/>
      <c r="I18" s="62" t="inlineStr">
        <is>
          <t>Article</t>
        </is>
      </c>
      <c r="J18" s="62" t="inlineStr">
        <is>
          <t>AgriEngineering</t>
        </is>
      </c>
      <c r="K18" s="62" t="inlineStr">
        <is>
          <t>Exportado de Scopus</t>
        </is>
      </c>
      <c r="L18" s="63" t="inlineStr">
        <is>
          <t>C:\Users\plusm\Desktop\Tesis\Bibliografia\Antracnosis\scopus_export_Sep 9-2026_f215638f-fffb-429f-adc7-ae9f84755503.csv</t>
        </is>
      </c>
    </row>
    <row r="19" ht="60" customHeight="1" s="34">
      <c r="A19" s="62" t="inlineStr">
        <is>
          <t>B0016</t>
        </is>
      </c>
      <c r="B19" s="62" t="inlineStr">
        <is>
          <t>Web / DOI</t>
        </is>
      </c>
      <c r="C19" s="62" t="inlineStr">
        <is>
          <t>05 Arana roja Oligonychus perseae Torres 2022</t>
        </is>
      </c>
      <c r="D19" s="62" t="inlineStr"/>
      <c r="E19" s="62" t="n"/>
      <c r="F19" s="62" t="inlineStr">
        <is>
          <t>10.1080/01647954.2022.2134923</t>
        </is>
      </c>
      <c r="G19" s="62" t="inlineStr">
        <is>
          <t>Araña roja / ácaros</t>
        </is>
      </c>
      <c r="H19" s="62" t="inlineStr">
        <is>
          <t>https://doi.org/10.1080/01647954.2022.2134923</t>
        </is>
      </c>
      <c r="I19" s="62" t="inlineStr">
        <is>
          <t>Enlace / recurso web</t>
        </is>
      </c>
      <c r="J19" s="62" t="inlineStr">
        <is>
          <t>doi.org</t>
        </is>
      </c>
      <c r="K19" s="62" t="inlineStr">
        <is>
          <t>Enlace local</t>
        </is>
      </c>
      <c r="L19" s="63" t="inlineStr">
        <is>
          <t>C:\Users\plusm\Desktop\Tesis\Bibliografia\_Bibliografia adicional 2026\05_Arana_roja_Oligonychus_perseae_Torres_2022.url</t>
        </is>
      </c>
    </row>
    <row r="20" ht="60" customHeight="1" s="34">
      <c r="A20" s="62" t="inlineStr">
        <is>
          <t>B0017</t>
        </is>
      </c>
      <c r="B20" s="62" t="inlineStr">
        <is>
          <t>Web / DOI</t>
        </is>
      </c>
      <c r="C20" s="62" t="inlineStr">
        <is>
          <t>06 Arana roja Oligonychus punicae Oliveira 2021</t>
        </is>
      </c>
      <c r="D20" s="62" t="inlineStr"/>
      <c r="E20" s="62" t="n"/>
      <c r="F20" s="62" t="inlineStr">
        <is>
          <t>10.1093/jee/toab029</t>
        </is>
      </c>
      <c r="G20" s="62" t="inlineStr">
        <is>
          <t>Araña roja / ácaros</t>
        </is>
      </c>
      <c r="H20" s="62" t="inlineStr">
        <is>
          <t>https://doi.org/10.1093/jee/toab029</t>
        </is>
      </c>
      <c r="I20" s="62" t="inlineStr">
        <is>
          <t>Enlace / recurso web</t>
        </is>
      </c>
      <c r="J20" s="62" t="inlineStr">
        <is>
          <t>doi.org</t>
        </is>
      </c>
      <c r="K20" s="62" t="inlineStr">
        <is>
          <t>Enlace local</t>
        </is>
      </c>
      <c r="L20" s="63" t="inlineStr">
        <is>
          <t>C:\Users\plusm\Desktop\Tesis\Bibliografia\_Bibliografia adicional 2026\06_Arana_roja_Oligonychus_punicae_Oliveira_2021.url</t>
        </is>
      </c>
    </row>
    <row r="21" ht="60" customHeight="1" s="34">
      <c r="A21" s="62" t="inlineStr">
        <is>
          <t>B0018</t>
        </is>
      </c>
      <c r="B21" s="62" t="inlineStr">
        <is>
          <t>Scopus</t>
        </is>
      </c>
      <c r="C21" s="62" t="inlineStr">
        <is>
          <t>BIOLOGICAL PEST CONTROL OF THE TETRANYCHID MITE OLIGONYCHUS PERSEAE IN AVOCADO AND CHALLENGES TO FACE IN A CLIMATE CHANGE SCENARIO</t>
        </is>
      </c>
      <c r="D21" s="62" t="inlineStr">
        <is>
          <t>Guzmán C.; Montserrat M.</t>
        </is>
      </c>
      <c r="E21" s="62" t="n">
        <v>2020</v>
      </c>
      <c r="F21" s="62" t="inlineStr"/>
      <c r="G21" s="62" t="inlineStr"/>
      <c r="H21" s="62" t="inlineStr"/>
      <c r="I21" s="62" t="inlineStr">
        <is>
          <t>Book chapter</t>
        </is>
      </c>
      <c r="J21" s="62" t="inlineStr">
        <is>
          <t>Encyclopedia of Climate Change: Volume 11: (11 Volume Set)</t>
        </is>
      </c>
      <c r="K21" s="62" t="inlineStr">
        <is>
          <t>Exportado de Scopus</t>
        </is>
      </c>
      <c r="L21" s="63" t="inlineStr">
        <is>
          <t>C:\Users\plusm\Desktop\Tesis\Bibliografia\Araña roja\scopus_export_Sep 10-2026_7aa1caac-78ac-4052-b0ac-49ff0bda6f9c.csv</t>
        </is>
      </c>
    </row>
    <row r="22" ht="60" customHeight="1" s="34">
      <c r="A22" s="62" t="inlineStr">
        <is>
          <t>B0019</t>
        </is>
      </c>
      <c r="B22" s="62" t="inlineStr">
        <is>
          <t>Scopus</t>
        </is>
      </c>
      <c r="C22" s="62" t="inlineStr">
        <is>
          <t>MODELIZACIÓN ESPACIAL DE LAS POBLACIONES DE Oligonychus perseae (TUTTLE, BAKER Y ABATIELLO, 1976) EN EL ESTADO DE MÉXICO; [SPATIAL MODELING OF THE Oligonychus perseae (TUTTLE, BAKER AND ABATIELLO, 1976) POPULATIONS IN THE STATE OF MEXICO]</t>
        </is>
      </c>
      <c r="D22" s="62" t="inlineStr">
        <is>
          <t>Lara-Diaz A.V.; Ramírez-Dávila J.F.; Maldonado-Zamora F.I.; Rivera-Martínez R.; Acosta-Guadarrama A.D.; Lara-Vázquez F.</t>
        </is>
      </c>
      <c r="E22" s="62" t="n">
        <v>2020</v>
      </c>
      <c r="F22" s="62" t="inlineStr"/>
      <c r="G22" s="62" t="inlineStr"/>
      <c r="H22" s="62" t="inlineStr"/>
      <c r="I22" s="62" t="inlineStr">
        <is>
          <t>Article</t>
        </is>
      </c>
      <c r="J22" s="62" t="inlineStr">
        <is>
          <t>Revista Fitotecnia Mexicana</t>
        </is>
      </c>
      <c r="K22" s="62" t="inlineStr">
        <is>
          <t>Exportado de Scopus</t>
        </is>
      </c>
      <c r="L22" s="63" t="inlineStr">
        <is>
          <t>C:\Users\plusm\Desktop\Tesis\Bibliografia\Araña roja\scopus_export_Sep 10-2026_7aa1caac-78ac-4052-b0ac-49ff0bda6f9c.csv</t>
        </is>
      </c>
    </row>
    <row r="23" ht="60" customHeight="1" s="34">
      <c r="A23" s="62" t="inlineStr">
        <is>
          <t>B0020</t>
        </is>
      </c>
      <c r="B23" s="62" t="inlineStr">
        <is>
          <t>Scopus</t>
        </is>
      </c>
      <c r="C23" s="62"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23" s="62" t="inlineStr">
        <is>
          <t>Báñez-Aldave H.W.; Cuesta-Herrera L.; López-Hernández J.; Andrades-Grassi J.; Torres-Mantilla H.A.</t>
        </is>
      </c>
      <c r="E23" s="62" t="n">
        <v>2023</v>
      </c>
      <c r="F23" s="62" t="inlineStr">
        <is>
          <t>10.15446/rfnam.v76n2.102479</t>
        </is>
      </c>
      <c r="G23" s="62" t="inlineStr"/>
      <c r="H23" s="62" t="inlineStr"/>
      <c r="I23" s="62" t="inlineStr">
        <is>
          <t>Article</t>
        </is>
      </c>
      <c r="J23" s="62" t="inlineStr">
        <is>
          <t>Revista Facultad Nacional de Agronomia Medellin</t>
        </is>
      </c>
      <c r="K23" s="62" t="inlineStr">
        <is>
          <t>Exportado de Scopus</t>
        </is>
      </c>
      <c r="L23" s="63" t="inlineStr">
        <is>
          <t>C:\Users\plusm\Desktop\Tesis\Bibliografia\Araña roja\scopus_export_Sep 10-2026_7aa1caac-78ac-4052-b0ac-49ff0bda6f9c.csv</t>
        </is>
      </c>
    </row>
    <row r="24" ht="60" customHeight="1" s="34">
      <c r="A24" s="62" t="inlineStr">
        <is>
          <t>B0021</t>
        </is>
      </c>
      <c r="B24" s="62" t="inlineStr">
        <is>
          <t>Scopus</t>
        </is>
      </c>
      <c r="C24" s="62"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24" s="62" t="inlineStr">
        <is>
          <t>Deza-Deza G.; Pinna-Cabrejos J.</t>
        </is>
      </c>
      <c r="E24" s="62" t="n">
        <v>2023</v>
      </c>
      <c r="F24" s="62" t="inlineStr">
        <is>
          <t>10.31910/rudca.v26.n2.2023.2370</t>
        </is>
      </c>
      <c r="G24" s="62" t="inlineStr"/>
      <c r="H24" s="62" t="inlineStr"/>
      <c r="I24" s="62" t="inlineStr">
        <is>
          <t>Article</t>
        </is>
      </c>
      <c r="J24" s="62" t="inlineStr">
        <is>
          <t>Revista U.D.C.A Actualidad and Divulgacion Cientifica</t>
        </is>
      </c>
      <c r="K24" s="62" t="inlineStr">
        <is>
          <t>Exportado de Scopus</t>
        </is>
      </c>
      <c r="L24" s="63" t="inlineStr">
        <is>
          <t>C:\Users\plusm\Desktop\Tesis\Bibliografia\Araña roja\scopus_export_Sep 10-2026_7aa1caac-78ac-4052-b0ac-49ff0bda6f9c.csv</t>
        </is>
      </c>
    </row>
    <row r="25" ht="60" customHeight="1" s="34">
      <c r="A25" s="62" t="inlineStr">
        <is>
          <t>B0022</t>
        </is>
      </c>
      <c r="B25" s="62" t="inlineStr">
        <is>
          <t>Scopus</t>
        </is>
      </c>
      <c r="C25" s="62" t="inlineStr">
        <is>
          <t>Spatial modeling of red spider mite Oligonychus punicae (Acari: Tetranychidae) in avocado crop</t>
        </is>
      </c>
      <c r="D25" s="62" t="inlineStr">
        <is>
          <t>Lara-Vázquez F.; Ramírez-Dávila J.F.; Figueroa-Figueroa D.K.; Tapia-Rodríguez A.; González-Huerta A.</t>
        </is>
      </c>
      <c r="E25" s="62" t="n">
        <v>2023</v>
      </c>
      <c r="F25" s="62" t="inlineStr">
        <is>
          <t>10.1653/024.106.0402</t>
        </is>
      </c>
      <c r="G25" s="62" t="inlineStr"/>
      <c r="H25" s="62" t="inlineStr"/>
      <c r="I25" s="62" t="inlineStr">
        <is>
          <t>Article</t>
        </is>
      </c>
      <c r="J25" s="62" t="inlineStr">
        <is>
          <t>Florida Entomologist</t>
        </is>
      </c>
      <c r="K25" s="62" t="inlineStr">
        <is>
          <t>Exportado de Scopus</t>
        </is>
      </c>
      <c r="L25" s="63" t="inlineStr">
        <is>
          <t>C:\Users\plusm\Desktop\Tesis\Bibliografia\Araña roja\scopus_export_Sep 10-2026_7aa1caac-78ac-4052-b0ac-49ff0bda6f9c.csv</t>
        </is>
      </c>
    </row>
    <row r="26" ht="60" customHeight="1" s="34">
      <c r="A26" s="62" t="inlineStr">
        <is>
          <t>B0023</t>
        </is>
      </c>
      <c r="B26" s="62" t="inlineStr">
        <is>
          <t>Scopus</t>
        </is>
      </c>
      <c r="C26" s="62" t="inlineStr">
        <is>
          <t>Biosecurity practices and exploratory survey for pests and diseases of avocados in the Gharb-Loukkos region, Morocco</t>
        </is>
      </c>
      <c r="D26" s="62" t="inlineStr">
        <is>
          <t>Ouaznati S.M.; El Fakhouri K.; Belkadi B.; Douira A.; El Bouhssini M.; Touhami A.O.</t>
        </is>
      </c>
      <c r="E26" s="62" t="n">
        <v>2025</v>
      </c>
      <c r="F26" s="62" t="inlineStr">
        <is>
          <t>10.17660/ActaHortic.2025.1422.47</t>
        </is>
      </c>
      <c r="G26" s="62" t="inlineStr"/>
      <c r="H26" s="62" t="inlineStr"/>
      <c r="I26" s="62" t="inlineStr">
        <is>
          <t>Conference paper</t>
        </is>
      </c>
      <c r="J26" s="62" t="inlineStr">
        <is>
          <t>Acta Horticulturae</t>
        </is>
      </c>
      <c r="K26" s="62" t="inlineStr">
        <is>
          <t>Exportado de Scopus</t>
        </is>
      </c>
      <c r="L26" s="63" t="inlineStr">
        <is>
          <t>C:\Users\plusm\Desktop\Tesis\Bibliografia\Araña roja\scopus_export_Sep 10-2026_7aa1caac-78ac-4052-b0ac-49ff0bda6f9c.csv</t>
        </is>
      </c>
    </row>
    <row r="27" ht="60" customHeight="1" s="34">
      <c r="A27" s="62" t="inlineStr">
        <is>
          <t>B0024</t>
        </is>
      </c>
      <c r="B27" s="62" t="inlineStr">
        <is>
          <t>Web / DOI</t>
        </is>
      </c>
      <c r="C27" s="62" t="inlineStr">
        <is>
          <t>02 Tizon Pseudocercospora norchiensis Dai 2026</t>
        </is>
      </c>
      <c r="D27" s="62" t="inlineStr"/>
      <c r="E27" s="62" t="n"/>
      <c r="F27" s="62" t="inlineStr">
        <is>
          <t>10.1094/PDIS-03-25-0523-PDN</t>
        </is>
      </c>
      <c r="G27" s="62" t="inlineStr">
        <is>
          <t>Cercospora / mancha negra</t>
        </is>
      </c>
      <c r="H27" s="62" t="inlineStr">
        <is>
          <t>https://doi.org/10.1094/PDIS-03-25-0523-PDN</t>
        </is>
      </c>
      <c r="I27" s="62" t="inlineStr">
        <is>
          <t>Enlace / recurso web</t>
        </is>
      </c>
      <c r="J27" s="62" t="inlineStr">
        <is>
          <t>doi.org</t>
        </is>
      </c>
      <c r="K27" s="62" t="inlineStr">
        <is>
          <t>Enlace local</t>
        </is>
      </c>
      <c r="L27" s="63" t="inlineStr">
        <is>
          <t>C:\Users\plusm\Desktop\Tesis\Bibliografia\_Bibliografia adicional 2026\02_Tizon_Pseudocercospora_norchiensis_Dai_2026.url</t>
        </is>
      </c>
    </row>
    <row r="28" ht="60" customHeight="1" s="34">
      <c r="A28" s="62" t="inlineStr">
        <is>
          <t>B0025</t>
        </is>
      </c>
      <c r="B28" s="62" t="inlineStr">
        <is>
          <t>Web / DOI</t>
        </is>
      </c>
      <c r="C28" s="62" t="inlineStr">
        <is>
          <t>04 Cercospora van Eeden Korsten 2013</t>
        </is>
      </c>
      <c r="D28" s="62" t="inlineStr"/>
      <c r="E28" s="62" t="n"/>
      <c r="F28" s="62" t="inlineStr">
        <is>
          <t>10.2174/22115501113029990001</t>
        </is>
      </c>
      <c r="G28" s="62" t="inlineStr">
        <is>
          <t>Cercospora / mancha negra</t>
        </is>
      </c>
      <c r="H28" s="62" t="inlineStr">
        <is>
          <t>https://doi.org/10.2174/22115501113029990001</t>
        </is>
      </c>
      <c r="I28" s="62" t="inlineStr">
        <is>
          <t>Enlace / recurso web</t>
        </is>
      </c>
      <c r="J28" s="62" t="inlineStr">
        <is>
          <t>doi.org</t>
        </is>
      </c>
      <c r="K28" s="62" t="inlineStr">
        <is>
          <t>Enlace local</t>
        </is>
      </c>
      <c r="L28" s="63" t="inlineStr">
        <is>
          <t>C:\Users\plusm\Desktop\Tesis\Bibliografia\_Bibliografia adicional 2026\04_Cercospora_van_Eeden_Korsten_2013.url</t>
        </is>
      </c>
    </row>
    <row r="29" ht="60" customHeight="1" s="34">
      <c r="A29" s="62" t="inlineStr">
        <is>
          <t>B0026</t>
        </is>
      </c>
      <c r="B29" s="62" t="inlineStr">
        <is>
          <t>PDF local</t>
        </is>
      </c>
      <c r="C29" s="62" t="inlineStr">
        <is>
          <t>Validation of black spot [(Pseudocercospora purpurea (Cooke) Deighton] management strategies in avocado crops in northern Tolima (Colombia)</t>
        </is>
      </c>
      <c r="D29" s="62" t="inlineStr"/>
      <c r="E29" s="62" t="n">
        <v>2020</v>
      </c>
      <c r="F29" s="62" t="inlineStr">
        <is>
          <t>10.17584/rcch.2020v14i2.10169</t>
        </is>
      </c>
      <c r="G29" s="62" t="inlineStr">
        <is>
          <t>Cercospora / mancha negra</t>
        </is>
      </c>
      <c r="H29" s="62" t="inlineStr">
        <is>
          <t>Doi: https://doi.org/10.17584/rcch.2020v14i2.10169 REVISTA COLOMBIANA DE CIENCIAS HORTÍCOLAS - Vol. 14 - No. 2, pp. 178-191, May-August 2020 Validation of black spot [(Pseudocercospora purpurea (Cooke) Deighton] management strategies in avocado crops in northern Tolima (Colombia) Validación de estrategias de manejo de la peca [(Pseudocercospora purpurea (Cooke) Deighton] en cultivos de aguacate en el norte del Tolima (Colombia) ELEONORA RODRÍGUEZ-POLANCO 1, 5 JULIAN ALBERTO REINA-NOREÑA 2 PABLO JULIAN TAMAYO-MOLANO 3 LUZ ASTRID RODRÍGUEZ-POLANCO 4 EDGAR HERNEY VARÓN-DEVIA 1 Black spot, caused by Pseudocercospora purpurea, symptoms in avocado fruits, variety Lorena, Fresno-Tolima. Photo: E. Rodríguez-Polanco ABSTRACT Leaf spot, or black spot (BS), caused by the fungus Pseudocercospora purpurea (Cooke) Deighton, is one of the principal sanitary limitations in avocado production, particularly in the Antillean cultivars (Lorena, Choquet- te, Santana, and Semil 44) in the northern region of</t>
        </is>
      </c>
      <c r="I29" s="62" t="inlineStr">
        <is>
          <t>PDF / artículo</t>
        </is>
      </c>
      <c r="J29" s="62" t="inlineStr">
        <is>
          <t>Leaf spot or black spot (BS) in avocado, caused by the fungus Pseudocercospora purpurea (Cooke) Deighton, is one of the main sanitary limitations for the production of avocado, particularly for the Antillean cultivars (Lorena, Choquette, Santana,...</t>
        </is>
      </c>
      <c r="K29" s="62" t="inlineStr">
        <is>
          <t>PDF local</t>
        </is>
      </c>
      <c r="L29" s="63" t="inlineStr">
        <is>
          <t>C:\Users\plusm\Desktop\Tesis\Bibliografia\Cercospora\rcch,+03_Validation+of+black+spot+[(Pseudocercospora+purpurea+(Cooke)+Deighton]+management+strategies+in+avocado+crops+in+norther.pdf</t>
        </is>
      </c>
    </row>
    <row r="30" ht="60" customHeight="1" s="34">
      <c r="A30" s="62" t="inlineStr">
        <is>
          <t>B0027</t>
        </is>
      </c>
      <c r="B30" s="62" t="inlineStr">
        <is>
          <t>Web / DOI</t>
        </is>
      </c>
      <c r="C30" s="62" t="inlineStr">
        <is>
          <t>09 Rona Scab Belizaire 2024</t>
        </is>
      </c>
      <c r="D30" s="62" t="inlineStr"/>
      <c r="E30" s="62" t="n"/>
      <c r="F30" s="62" t="inlineStr">
        <is>
          <t>10.1094/PHP-10-23-0084-DG</t>
        </is>
      </c>
      <c r="G30" s="62" t="inlineStr">
        <is>
          <t>Roña</t>
        </is>
      </c>
      <c r="H30" s="62" t="inlineStr">
        <is>
          <t>https://doi.org/10.1094/PHP-10-23-0084-DG</t>
        </is>
      </c>
      <c r="I30" s="62" t="inlineStr">
        <is>
          <t>Enlace / recurso web</t>
        </is>
      </c>
      <c r="J30" s="62" t="inlineStr">
        <is>
          <t>doi.org</t>
        </is>
      </c>
      <c r="K30" s="62" t="inlineStr">
        <is>
          <t>Enlace local</t>
        </is>
      </c>
      <c r="L30" s="63" t="inlineStr">
        <is>
          <t>C:\Users\plusm\Desktop\Tesis\Bibliografia\_Bibliografia adicional 2026\09_Rona_Scab_Belizaire_2024.url</t>
        </is>
      </c>
    </row>
    <row r="31" ht="60" customHeight="1" s="34">
      <c r="A31" s="62" t="inlineStr">
        <is>
          <t>B0028</t>
        </is>
      </c>
      <c r="B31" s="62" t="inlineStr">
        <is>
          <t>Web / DOI</t>
        </is>
      </c>
      <c r="C31" s="62" t="inlineStr">
        <is>
          <t>10 Rona Scab Chellappan 2024 PDF</t>
        </is>
      </c>
      <c r="D31" s="62" t="inlineStr"/>
      <c r="E31" s="62" t="n"/>
      <c r="F31" s="62" t="inlineStr"/>
      <c r="G31" s="62" t="inlineStr">
        <is>
          <t>Roña</t>
        </is>
      </c>
      <c r="H31" s="62" t="inlineStr">
        <is>
          <t>https://www.aimspress.com/aimspress-data/aimsmicro/2024/4/PDF/microbiol-10-04-039.pdf</t>
        </is>
      </c>
      <c r="I31" s="62" t="inlineStr">
        <is>
          <t>Enlace / recurso web</t>
        </is>
      </c>
      <c r="J31" s="62" t="inlineStr">
        <is>
          <t>www.aimspress.com</t>
        </is>
      </c>
      <c r="K31" s="62" t="inlineStr">
        <is>
          <t>Enlace local</t>
        </is>
      </c>
      <c r="L31" s="63" t="inlineStr">
        <is>
          <t>C:\Users\plusm\Desktop\Tesis\Bibliografia\_Bibliografia adicional 2026\10_Rona_Scab_Chellappan_2024_PDF.url</t>
        </is>
      </c>
    </row>
    <row r="32" ht="60" customHeight="1" s="34">
      <c r="A32" s="62" t="inlineStr">
        <is>
          <t>B0029</t>
        </is>
      </c>
      <c r="B32" s="62" t="inlineStr">
        <is>
          <t>BibTeX</t>
        </is>
      </c>
      <c r="C32" s="62" t="inlineStr">
        <is>
          <t>Comparative secretome analysis unveils species-specific virulence factors in Elsinoe perseae, the causative agent of the scab disease of avocado (Persea americana)</t>
        </is>
      </c>
      <c r="D32" s="62" t="inlineStr">
        <is>
          <t>Chellappan, Biju Vadakkemukadiyil</t>
        </is>
      </c>
      <c r="E32" s="62" t="n">
        <v>2024</v>
      </c>
      <c r="F32" s="62" t="inlineStr">
        <is>
          <t>10.3934/microbiol.2024039</t>
        </is>
      </c>
      <c r="G32" s="62" t="inlineStr"/>
      <c r="H32" s="62" t="inlineStr"/>
      <c r="I32" s="62" t="inlineStr">
        <is>
          <t>Artículo referenciado</t>
        </is>
      </c>
      <c r="J32" s="62" t="inlineStr">
        <is>
          <t>AIMS Microbiology</t>
        </is>
      </c>
      <c r="K32" s="62" t="inlineStr">
        <is>
          <t>Entrada BibTeX</t>
        </is>
      </c>
      <c r="L32" s="63" t="inlineStr">
        <is>
          <t>C:\Users\plusm\Desktop\Tesis\Bibliografia\_Bibliografia adicional 2026\bibliografia_adicional.bib</t>
        </is>
      </c>
    </row>
    <row r="33" ht="60" customHeight="1" s="34">
      <c r="A33" s="62" t="inlineStr">
        <is>
          <t>B0030</t>
        </is>
      </c>
      <c r="B33" s="62" t="inlineStr">
        <is>
          <t>Web / DOI</t>
        </is>
      </c>
      <c r="C33" s="62" t="inlineStr">
        <is>
          <t>03 Tizon Neopestalotiopsis Darapanit 2021</t>
        </is>
      </c>
      <c r="D33" s="62" t="inlineStr"/>
      <c r="E33" s="62" t="n"/>
      <c r="F33" s="62" t="inlineStr"/>
      <c r="G33" s="62" t="inlineStr">
        <is>
          <t>Tizón foliar</t>
        </is>
      </c>
      <c r="H33" s="62" t="inlineStr">
        <is>
          <t>https://www.nature.com/articles/s41598-021-02113-5</t>
        </is>
      </c>
      <c r="I33" s="62" t="inlineStr">
        <is>
          <t>Enlace / recurso web</t>
        </is>
      </c>
      <c r="J33" s="62" t="inlineStr">
        <is>
          <t>www.nature.com</t>
        </is>
      </c>
      <c r="K33" s="62" t="inlineStr">
        <is>
          <t>Enlace local</t>
        </is>
      </c>
      <c r="L33" s="63" t="inlineStr">
        <is>
          <t>C:\Users\plusm\Desktop\Tesis\Bibliografia\_Bibliografia adicional 2026\03_Tizon_Neopestalotiopsis_Darapanit_2021.url</t>
        </is>
      </c>
    </row>
    <row r="34" ht="60" customHeight="1" s="34">
      <c r="A34" s="62" t="inlineStr">
        <is>
          <t>B0031</t>
        </is>
      </c>
      <c r="B34" s="62" t="inlineStr">
        <is>
          <t>BibTeX</t>
        </is>
      </c>
      <c r="C34" s="62" t="inlineStr">
        <is>
          <t>Identification, pathogenicity and effects of plant extracts on Neopestalotiopsis and Pseudopestalotiopsis causing fruit diseases</t>
        </is>
      </c>
      <c r="D34" s="62" t="inlineStr">
        <is>
          <t>Darapanit, Angwara and Boonyuen, Nattawut and Leesutthiphonchai, Wiphawee and Nuankaew, Salilaporn and Piasai, Onuma</t>
        </is>
      </c>
      <c r="E34" s="62" t="n">
        <v>2021</v>
      </c>
      <c r="F34" s="62" t="inlineStr">
        <is>
          <t>10.1038/s41598-021-02113-5</t>
        </is>
      </c>
      <c r="G34" s="62" t="inlineStr"/>
      <c r="H34" s="62" t="inlineStr"/>
      <c r="I34" s="62" t="inlineStr">
        <is>
          <t>Artículo referenciado</t>
        </is>
      </c>
      <c r="J34" s="62" t="inlineStr">
        <is>
          <t>Scientific Reports</t>
        </is>
      </c>
      <c r="K34" s="62" t="inlineStr">
        <is>
          <t>Entrada BibTeX</t>
        </is>
      </c>
      <c r="L34" s="63" t="inlineStr">
        <is>
          <t>C:\Users\plusm\Desktop\Tesis\Bibliografia\_Bibliografia adicional 2026\bibliografia_adicional.bib</t>
        </is>
      </c>
    </row>
    <row r="35" ht="60" customHeight="1" s="34">
      <c r="A35" s="62" t="inlineStr">
        <is>
          <t>B0032</t>
        </is>
      </c>
      <c r="B35" s="62" t="inlineStr">
        <is>
          <t>IEEE Xplore</t>
        </is>
      </c>
      <c r="C35" s="62" t="inlineStr">
        <is>
          <t>CNN-Based Plant Leaf Disease Identification and Classification for Sustainable Agriculture</t>
        </is>
      </c>
      <c r="D35" s="62" t="inlineStr"/>
      <c r="E35" s="62" t="n"/>
      <c r="F35" s="62" t="inlineStr"/>
      <c r="G35" s="62" t="inlineStr">
        <is>
          <t>Visión artificial / IA / UAV</t>
        </is>
      </c>
      <c r="H35" s="62" t="inlineStr">
        <is>
          <t>https://ieeexplore.ieee.org/document/10883522/</t>
        </is>
      </c>
      <c r="I35" s="62" t="inlineStr">
        <is>
          <t>Enlace / recurso web</t>
        </is>
      </c>
      <c r="J35" s="62" t="inlineStr">
        <is>
          <t>ieeexplore.ieee.org</t>
        </is>
      </c>
      <c r="K35" s="62" t="inlineStr">
        <is>
          <t>Enlace local</t>
        </is>
      </c>
      <c r="L35" s="63" t="inlineStr">
        <is>
          <t>C:\Users\plusm\Desktop\Tesis\Bibliografia\Cultivos comparativos\IEEE Xplore\CNN-Based Plant Leaf Disease Identification and Classification for Sustainable Agriculture.url</t>
        </is>
      </c>
    </row>
    <row r="36" ht="60" customHeight="1" s="34">
      <c r="A36" s="62" t="inlineStr">
        <is>
          <t>B0033</t>
        </is>
      </c>
      <c r="B36" s="62" t="inlineStr">
        <is>
          <t>IEEE Xplore</t>
        </is>
      </c>
      <c r="C36" s="62" t="inlineStr">
        <is>
          <t>Crop Disease Prediction System</t>
        </is>
      </c>
      <c r="D36" s="62" t="inlineStr"/>
      <c r="E36" s="62" t="n"/>
      <c r="F36" s="62" t="inlineStr"/>
      <c r="G36" s="62" t="inlineStr">
        <is>
          <t>Visión artificial / IA / UAV</t>
        </is>
      </c>
      <c r="H36" s="62" t="inlineStr">
        <is>
          <t>https://ieeexplore.ieee.org/abstract/document/11582865</t>
        </is>
      </c>
      <c r="I36" s="62" t="inlineStr">
        <is>
          <t>Enlace / recurso web</t>
        </is>
      </c>
      <c r="J36" s="62" t="inlineStr">
        <is>
          <t>ieeexplore.ieee.org</t>
        </is>
      </c>
      <c r="K36" s="62" t="inlineStr">
        <is>
          <t>Enlace local</t>
        </is>
      </c>
      <c r="L36" s="63" t="inlineStr">
        <is>
          <t>C:\Users\plusm\Desktop\Tesis\Bibliografia\Vision artificial y UAV\IEEE Xplore\Crop Disease Prediction System.url</t>
        </is>
      </c>
    </row>
    <row r="37" ht="60" customHeight="1" s="34">
      <c r="A37" s="62" t="inlineStr">
        <is>
          <t>B0034</t>
        </is>
      </c>
      <c r="B37" s="62" t="inlineStr">
        <is>
          <t>IEEE Xplore</t>
        </is>
      </c>
      <c r="C37" s="62" t="inlineStr">
        <is>
          <t>Image-Based Plant Leaf Disease Detection using Deep Learning</t>
        </is>
      </c>
      <c r="D37" s="62" t="inlineStr"/>
      <c r="E37" s="62" t="n"/>
      <c r="F37" s="62" t="inlineStr"/>
      <c r="G37" s="62" t="inlineStr">
        <is>
          <t>Visión artificial / IA / UAV</t>
        </is>
      </c>
      <c r="H37" s="62" t="inlineStr">
        <is>
          <t>https://ieeexplore.ieee.org/document/10627918/</t>
        </is>
      </c>
      <c r="I37" s="62" t="inlineStr">
        <is>
          <t>Enlace / recurso web</t>
        </is>
      </c>
      <c r="J37" s="62" t="inlineStr">
        <is>
          <t>ieeexplore.ieee.org</t>
        </is>
      </c>
      <c r="K37" s="62" t="inlineStr">
        <is>
          <t>Enlace local</t>
        </is>
      </c>
      <c r="L37" s="63" t="inlineStr">
        <is>
          <t>C:\Users\plusm\Desktop\Tesis\Bibliografia\Cultivos comparativos\IEEE Xplore\Image-Based Plant Leaf Disease Detection using Deep Learning.url</t>
        </is>
      </c>
    </row>
    <row r="38" ht="60" customHeight="1" s="34">
      <c r="A38" s="62" t="inlineStr">
        <is>
          <t>B0035</t>
        </is>
      </c>
      <c r="B38" s="62" t="inlineStr">
        <is>
          <t>Nota local</t>
        </is>
      </c>
      <c r="C38" s="62" t="inlineStr">
        <is>
          <t>LEEME</t>
        </is>
      </c>
      <c r="D38" s="62" t="inlineStr"/>
      <c r="E38" s="62" t="n"/>
      <c r="F38" s="62" t="inlineStr"/>
      <c r="G38" s="62" t="inlineStr"/>
      <c r="H38" s="62" t="inlineStr">
        <is>
          <t># Bibliografía adicional — enfermedades y plagas foliares del aguacate Esta carpeta complementa la bibliografía original con fuentes adicionales localizadas para: antracnosis, tizón foliar, Cercospora/black spot, ácaros (araña roja), agallas foliares por Trioza y roña/scab. ## Importante No todos los artículos permiten descarga directa sin suscripción o sin pasar por la página del editor. Por eso esta carpeta incluye: - un archivo `bibliografia_adicional.bib` para Zotero/Mendeley/LaTeX; - accesos `.url` a las páginas oficiales/DOI de cada artículo; - una clasificación de disponibilidad para saber cuáles son abiertos/gratuitos y cuáles requieren acceso institucional o compra. ### Acceso abierto / gratuito localizado 1. Dai et al. (2026) — *First Report of Pseudocercospora norchiensis Causing Leaf Blight on Persea americana in China* — Plant Disease. Marcado por el editor como **Open access**. 2. Darapanit et al. (2021) — *Identification, pathogenicity and effects of plant extracts on...</t>
        </is>
      </c>
      <c r="I38" s="62" t="inlineStr">
        <is>
          <t>Nota de bibliografía</t>
        </is>
      </c>
      <c r="J38" s="62" t="inlineStr">
        <is>
          <t>_Bibliografia adicional 2026</t>
        </is>
      </c>
      <c r="K38" s="62" t="inlineStr">
        <is>
          <t>Documento auxiliar</t>
        </is>
      </c>
      <c r="L38" s="63" t="inlineStr">
        <is>
          <t>C:\Users\plusm\Desktop\Tesis\Bibliografia\_Bibliografia adicional 2026\LEEME.md</t>
        </is>
      </c>
    </row>
    <row r="39" ht="60" customHeight="1" s="34">
      <c r="A39" s="62" t="inlineStr">
        <is>
          <t>B0036</t>
        </is>
      </c>
      <c r="B39" s="62" t="inlineStr">
        <is>
          <t>IEEE Xplore</t>
        </is>
      </c>
      <c r="C39" s="62" t="inlineStr">
        <is>
          <t>Plant Disease Detection Using Deep Learning</t>
        </is>
      </c>
      <c r="D39" s="62" t="inlineStr"/>
      <c r="E39" s="62" t="n"/>
      <c r="F39" s="62" t="inlineStr"/>
      <c r="G39" s="62" t="inlineStr">
        <is>
          <t>Visión artificial / IA / UAV</t>
        </is>
      </c>
      <c r="H39" s="62" t="inlineStr">
        <is>
          <t>https://ieeexplore.ieee.org/document/9417910/</t>
        </is>
      </c>
      <c r="I39" s="62" t="inlineStr">
        <is>
          <t>Enlace / recurso web</t>
        </is>
      </c>
      <c r="J39" s="62" t="inlineStr">
        <is>
          <t>ieeexplore.ieee.org</t>
        </is>
      </c>
      <c r="K39" s="62" t="inlineStr">
        <is>
          <t>Enlace local</t>
        </is>
      </c>
      <c r="L39" s="63" t="inlineStr">
        <is>
          <t>C:\Users\plusm\Desktop\Tesis\Bibliografia\Cultivos comparativos\IEEE Xplore\Plant Disease Detection Using Deep Learning.url</t>
        </is>
      </c>
    </row>
    <row r="40" ht="60" customHeight="1" s="34">
      <c r="A40" s="62" t="inlineStr">
        <is>
          <t>B0037</t>
        </is>
      </c>
      <c r="B40" s="62" t="inlineStr">
        <is>
          <t>IEEE Xplore</t>
        </is>
      </c>
      <c r="C40" s="62" t="inlineStr">
        <is>
          <t>Plant Leaf Disease Detection Classification and Diagnosis Using Computer Vision and Artificial Intelligence A Review</t>
        </is>
      </c>
      <c r="D40" s="62" t="inlineStr"/>
      <c r="E40" s="62" t="n"/>
      <c r="F40" s="62" t="inlineStr"/>
      <c r="G40" s="62" t="inlineStr">
        <is>
          <t>Visión artificial / IA / UAV</t>
        </is>
      </c>
      <c r="H40" s="62" t="inlineStr">
        <is>
          <t>https://ieeexplore.ieee.org/document/10458943/</t>
        </is>
      </c>
      <c r="I40" s="62" t="inlineStr">
        <is>
          <t>Enlace / recurso web</t>
        </is>
      </c>
      <c r="J40" s="62" t="inlineStr">
        <is>
          <t>ieeexplore.ieee.org</t>
        </is>
      </c>
      <c r="K40" s="62" t="inlineStr">
        <is>
          <t>Enlace local</t>
        </is>
      </c>
      <c r="L40" s="63" t="inlineStr">
        <is>
          <t>C:\Users\plusm\Desktop\Tesis\Bibliografia\Mosca blanca\IEEE Xplore\Plant Leaf Disease Detection_ Classification_ and Diagnosis Using Computer Vision and Artificial Intelligence_ A Review.url</t>
        </is>
      </c>
    </row>
    <row r="41" ht="60" customHeight="1" s="34">
      <c r="A41" s="62" t="inlineStr">
        <is>
          <t>B0038</t>
        </is>
      </c>
      <c r="B41" s="62" t="inlineStr">
        <is>
          <t>IEEE Xplore</t>
        </is>
      </c>
      <c r="C41" s="62" t="inlineStr">
        <is>
          <t>Real-Time Detection and Identification of Plant Leaf Diseases using YOLOv4-tiny</t>
        </is>
      </c>
      <c r="D41" s="62" t="inlineStr"/>
      <c r="E41" s="62" t="n"/>
      <c r="F41" s="62" t="inlineStr"/>
      <c r="G41" s="62" t="inlineStr">
        <is>
          <t>Visión artificial / IA / UAV</t>
        </is>
      </c>
      <c r="H41" s="62" t="inlineStr">
        <is>
          <t>https://ieeexplore.ieee.org/document/9579783/</t>
        </is>
      </c>
      <c r="I41" s="62" t="inlineStr">
        <is>
          <t>Enlace / recurso web</t>
        </is>
      </c>
      <c r="J41" s="62" t="inlineStr">
        <is>
          <t>ieeexplore.ieee.org</t>
        </is>
      </c>
      <c r="K41" s="62" t="inlineStr">
        <is>
          <t>Enlace local</t>
        </is>
      </c>
      <c r="L41" s="63" t="inlineStr">
        <is>
          <t>C:\Users\plusm\Desktop\Tesis\Bibliografia\Vision artificial y UAV\IEEE Xplore\Real-Time Detection and Identification of Plant Leaf Diseases using YOLOv4-tiny.url</t>
        </is>
      </c>
    </row>
    <row r="42" ht="60" customHeight="1" s="34">
      <c r="A42" s="62" t="inlineStr">
        <is>
          <t>B0039</t>
        </is>
      </c>
      <c r="B42" s="62" t="inlineStr">
        <is>
          <t>PDF local</t>
        </is>
      </c>
      <c r="C42" s="62" t="inlineStr">
        <is>
          <t>Real-time hass avocado ripeness detection using close-range UAV imagery and YOLO-based deep learning</t>
        </is>
      </c>
      <c r="D42" s="62" t="inlineStr"/>
      <c r="E42" s="62" t="n"/>
      <c r="F42" s="62" t="inlineStr"/>
      <c r="G42" s="62" t="inlineStr">
        <is>
          <t>Visión artificial / IA / UAV</t>
        </is>
      </c>
      <c r="H42" s="62" t="inlineStr">
        <is>
          <t>Real-time hass avocado ripeness detection using close-range UAV imagery and YOLO-based deep learning Verner Leonidas Tudela Taco * , Wilson Emerson Quispe Accostupa, Erasmo Sulla Espinoza Universidad Nacional de San Agustín de Arequipa, Peru ARTICLE INFO Keywords: Computer vision Deep learning YOLO UAV monitoring Avocado ripeness classification Precision agriculture ABSTRACT Rapid and accurate assessment of Hass avocado ripeness is essential for improving harvest planning, optimizing picking time, increasing productivity, and reducing postharvest losses. This study presents a real-time system for Hass avocado ripeness detection using close-range UAV imagery and YOLO-based deep learning models. A UAV equipped with a camera captured field images, which were transmitted in real time to a processing station through SCRCPY for fruit detection and ripeness classification. The proposed approach consists of two sequential stages. First, a YOLOv8 object detection model was trained using a datas</t>
        </is>
      </c>
      <c r="I42" s="62" t="inlineStr">
        <is>
          <t>PDF / artículo</t>
        </is>
      </c>
      <c r="J42" s="62" t="inlineStr">
        <is>
          <t>Smart Agricultural Technology, 15 (2026) 102547. doi:10.1016/j.atech.2026.102547</t>
        </is>
      </c>
      <c r="K42" s="62" t="inlineStr">
        <is>
          <t>PDF local</t>
        </is>
      </c>
      <c r="L42" s="63" t="inlineStr">
        <is>
          <t>C:\Users\plusm\Desktop\Tesis\Bibliografia\Real-time hass avocado ripeness detection using close-range UAV imagery and YOLO-based deep learning.pdf</t>
        </is>
      </c>
    </row>
    <row r="43" ht="60" customHeight="1" s="34">
      <c r="A43" s="62" t="inlineStr">
        <is>
          <t>B0040</t>
        </is>
      </c>
      <c r="B43" s="62" t="inlineStr">
        <is>
          <t>PDF local</t>
        </is>
      </c>
      <c r="C43" s="62" t="inlineStr">
        <is>
          <t>Simultaneously prediction of multiple wheat leaf phenotypes using hyperspectral imaging with multi-task machine and deep learning</t>
        </is>
      </c>
      <c r="D43" s="62" t="inlineStr"/>
      <c r="E43" s="62" t="n"/>
      <c r="F43" s="62" t="inlineStr"/>
      <c r="G43" s="62" t="inlineStr">
        <is>
          <t>Visión artificial / IA / UAV</t>
        </is>
      </c>
      <c r="H43" s="62" t="inlineStr">
        <is>
          <t>Simultaneously prediction of multiple wheat leaf phenotypes using hyperspectral imaging with multi-task machine and deep learning Xiaoyu Fu a , Lili Yao a , Xincheng Zhang b , Yuxin Xiao a , Kai Gao a , Wenjie Liu a , Qinfeng Zhang a , Hengnian Qi a , Chu Zhang a , * , Yiying Zhao c , * a School of Information Engineering, Huzhou Normal University, Huzhou 313000, China b Institute of Crop Science, Huzhou Academy of Agricultural Sciences, Huzhou 313000, China c Institute of Digital Agriculture, Zhejiang Academy of Agricultural Sciences, Hangzhou 310021, China HIGHLIGHTS GRAPHICAL ABSTRACT • Wheat variety, water content and SPAD were predicted by hyperspectral imaging. • Single-task models performed well on regression and classification of phenotypes. • Multi-task models performed well on classification and regression of phenotypes. • Different loss function of multi-task deep learning models showed prom - ising results. ARTICLE INFO Keywords: Hyperspectral imaging Multi-task learning Wh</t>
        </is>
      </c>
      <c r="I43" s="62" t="inlineStr">
        <is>
          <t>PDF / artículo</t>
        </is>
      </c>
      <c r="J43" s="62" t="inlineStr">
        <is>
          <t>Spectrochimica Acta Part A: Molecular and Biomolecular Spectroscopy, 363 (2026) 128294. doi:10.1016/j.saa.2026.128294</t>
        </is>
      </c>
      <c r="K43" s="62" t="inlineStr">
        <is>
          <t>PDF local</t>
        </is>
      </c>
      <c r="L43" s="63" t="inlineStr">
        <is>
          <t>C:\Users\plusm\Desktop\Tesis\Bibliografia\Cultivos comparativos\Simultaneously prediction of multiple wheat leaf phenotypes using.pdf</t>
        </is>
      </c>
    </row>
    <row r="44" ht="60" customHeight="1" s="34">
      <c r="A44" s="62" t="inlineStr">
        <is>
          <t>B0041</t>
        </is>
      </c>
      <c r="B44" s="62" t="inlineStr">
        <is>
          <t>PDF local</t>
        </is>
      </c>
      <c r="C44" s="62" t="inlineStr">
        <is>
          <t>Mitigating negative effects of long-term treated wastewater irrigation: Leaf gas exchange and water use efficiency response of avocado trees ( Persea americana Mill.)</t>
        </is>
      </c>
      <c r="D44" s="62" t="inlineStr"/>
      <c r="E44" s="62" t="n">
        <v>2021</v>
      </c>
      <c r="F44" s="62" t="inlineStr"/>
      <c r="G44" s="62" t="inlineStr">
        <is>
          <t>Visión artificial / IA / UAV</t>
        </is>
      </c>
      <c r="H44" s="62" t="inlineStr">
        <is>
          <t>Agricultural Water Management 256 (2021) 107126 Available online 21 August 2021 0378-3774/© 2021 Elsevier B.V. All rights reserved. Mitigating negative effects of long-term treated wastewater irrigation: Leaf gas exchange and water use efficiency response of avocado trees ( Persea americana Mill.) Diriba Bane Nemera a , b , * , Asher Bar-Tal a , Guy J. Levy a , Jorge Tarchitzky b , Ido Rog c , Tamir Klein c , Shabtai Cohen a a Institute of Soil, Water and Environmental Sciences, ARO Volcani Centre, Israel b The Robert H. Smith Faculty of Agriculture, Food and Environment, The Hebrew University of Jerusalem, Israel c Department of Earth and Planetary Sciences, Weizmann Institute of Science, Israel ARTICLE INFO Handling Editor - Dr. B.E. Clothier Keywords: Stomatal conductance Net assimilation rate Transpiration rate Leaf hydraulic conductance : Leaf water potential ABSTRACT Declining performance of avocado orchards growing in a clayey soil irrigated with treated wastewater (TWW) for mor</t>
        </is>
      </c>
      <c r="I44" s="62" t="inlineStr">
        <is>
          <t>PDF / artículo</t>
        </is>
      </c>
      <c r="J44" s="62" t="inlineStr">
        <is>
          <t>Agricultural Water Management, 256 (2021) 107126. doi:10.1016/j.agwat.2021.107126</t>
        </is>
      </c>
      <c r="K44" s="62" t="inlineStr">
        <is>
          <t>PDF local</t>
        </is>
      </c>
      <c r="L44" s="63" t="inlineStr">
        <is>
          <t>C:\Users\plusm\Desktop\Tesis\Bibliografia\Fisiologia y riego\Mitigating negative effects of long-term treated wastewater irrigationLeaf.pdf</t>
        </is>
      </c>
    </row>
    <row r="45" ht="60" customHeight="1" s="34">
      <c r="A45" s="62" t="inlineStr">
        <is>
          <t>B0042</t>
        </is>
      </c>
      <c r="B45" s="62" t="inlineStr">
        <is>
          <t>IEEE Xplore</t>
        </is>
      </c>
      <c r="C45" s="62" t="inlineStr">
        <is>
          <t>Plant Disease Detection Using Deep Learning</t>
        </is>
      </c>
      <c r="D45" s="62" t="inlineStr">
        <is>
          <t>IEEE I2CT, 2021</t>
        </is>
      </c>
      <c r="E45" s="62" t="n">
        <v>2021</v>
      </c>
      <c r="F45" s="62" t="inlineStr">
        <is>
          <t>10.1109/I2CT51068.2021.9417910</t>
        </is>
      </c>
      <c r="G45" s="62" t="inlineStr">
        <is>
          <t>Transformers y deep learning para enfermedades</t>
        </is>
      </c>
      <c r="H45" s="62" t="inlineStr">
        <is>
          <t>Compara enfoques CNN y transformer para deteccion de enfermedades vegetales.</t>
        </is>
      </c>
      <c r="I45" s="62" t="inlineStr">
        <is>
          <t>Ficha bibliográfica</t>
        </is>
      </c>
      <c r="J45" s="62" t="inlineStr">
        <is>
          <t>2021 6th International Conference for Convergence in Technology</t>
        </is>
      </c>
      <c r="K45" s="62" t="inlineStr">
        <is>
          <t>Ficha local</t>
        </is>
      </c>
      <c r="L45" s="63" t="inlineStr">
        <is>
          <t>C:\Users\plusm\Desktop\Tesis\Bibliografia\Cultivos comparativos\IEEE Xplore\Plant Disease Detection Using Deep Learning.md</t>
        </is>
      </c>
    </row>
    <row r="46" ht="60" customHeight="1" s="34">
      <c r="A46" s="62" t="inlineStr">
        <is>
          <t>B0043</t>
        </is>
      </c>
      <c r="B46" s="62" t="inlineStr">
        <is>
          <t>IEEE Xplore</t>
        </is>
      </c>
      <c r="C46" s="62" t="inlineStr">
        <is>
          <t>Real-Time Detection and Identification of Plant Leaf Diseases using YOLOv4-tiny</t>
        </is>
      </c>
      <c r="D46" s="62" t="inlineStr">
        <is>
          <t>IEEE ICCCNT, 2021</t>
        </is>
      </c>
      <c r="E46" s="62" t="n">
        <v>2021</v>
      </c>
      <c r="F46" s="62" t="inlineStr">
        <is>
          <t>10.1109/ICCCNT51525.2021.9579783</t>
        </is>
      </c>
      <c r="G46" s="62" t="inlineStr">
        <is>
          <t>YOLO para enfermedades foliares</t>
        </is>
      </c>
      <c r="H46" s="62" t="inlineStr">
        <is>
          <t>Antecedente metodologico para deteccion en tiempo real de enfermedades foliares con YOLOv4-tiny.</t>
        </is>
      </c>
      <c r="I46" s="62" t="inlineStr">
        <is>
          <t>Ficha bibliográfica</t>
        </is>
      </c>
      <c r="J46" s="62" t="inlineStr">
        <is>
          <t>2021 12th International Conference on Computing Communication and Networking Technologies</t>
        </is>
      </c>
      <c r="K46" s="62" t="inlineStr">
        <is>
          <t>Ficha local</t>
        </is>
      </c>
      <c r="L46" s="63" t="inlineStr">
        <is>
          <t>C:\Users\plusm\Desktop\Tesis\Bibliografia\Vision artificial y UAV\IEEE Xplore\Real-Time Detection and Identification of Plant Leaf Diseases using YOLOv4-tiny.md</t>
        </is>
      </c>
    </row>
    <row r="47" ht="60" customHeight="1" s="34">
      <c r="A47" s="62" t="inlineStr">
        <is>
          <t>B0044</t>
        </is>
      </c>
      <c r="B47" s="62" t="inlineStr">
        <is>
          <t>PDF local</t>
        </is>
      </c>
      <c r="C47" s="62" t="inlineStr">
        <is>
          <t>Implementation of Deep Learning for Image-Based Potato Leaf Disease Detection</t>
        </is>
      </c>
      <c r="D47" s="62" t="inlineStr"/>
      <c r="E47" s="62" t="n">
        <v>2023</v>
      </c>
      <c r="F47" s="62" t="inlineStr">
        <is>
          <t>10.22214/ijraset.2023.53806</t>
        </is>
      </c>
      <c r="G47" s="62" t="inlineStr">
        <is>
          <t>Visión artificial / IA / UAV</t>
        </is>
      </c>
      <c r="H47" s="62" t="inlineStr">
        <is>
          <t>11 VI June 2023 https://doi.org/10.22214/ijraset.2023.53806 International Journal for Research in Applied Science &amp; Engineering Technology (IJRASET) ISSN: 2321-9653; IC Value: 45.98; SJ Impact Factor: 7.538 Volume 11 Issue VI Jun 2023- Available at www.ijraset.com 393 ©IJRASET: All Rights are Reserved | SJ Impact Factor 7.538 | ISRA Journal Impact Factor 7.894 | 3938 Implementation of Deep Learning for Image-Based Potato Leaf Disease Detection K Sharath Chandra1, K Varun2, L Rakesh3, L Ashrith4 1, 2, 3, 4Artificial Intelligence &amp; Machine Learning, Malla Reddy University Abstract: Crop Potato is one of the most important food crops worldwide, and potato tuber diseases can cause signif icant economic losses to farmers and affect food security. Early detection and timely management of potato tuber diseases are critical for reducing losses and increasing crop yields. However, traditional methods of disease detection re ly heavily on visual inspection by trained experts, which can be time-c</t>
        </is>
      </c>
      <c r="I47" s="62" t="inlineStr">
        <is>
          <t>PDF / artículo</t>
        </is>
      </c>
      <c r="J47" s="62" t="inlineStr">
        <is>
          <t>Cultivos comparativos</t>
        </is>
      </c>
      <c r="K47" s="62" t="inlineStr">
        <is>
          <t>PDF local</t>
        </is>
      </c>
      <c r="L47" s="63" t="inlineStr">
        <is>
          <t>C:\Users\plusm\Desktop\Tesis\Bibliografia\Cultivos comparativos\Implementation-of-deep-learning-for-image-based-potato-leaf-disease-detection.pdf</t>
        </is>
      </c>
    </row>
    <row r="48" ht="60" customHeight="1" s="34">
      <c r="A48" s="62" t="inlineStr">
        <is>
          <t>B0045</t>
        </is>
      </c>
      <c r="B48" s="62" t="inlineStr">
        <is>
          <t>IEEE Xplore</t>
        </is>
      </c>
      <c r="C48" s="62" t="inlineStr">
        <is>
          <t>Image-Based Plant Leaf Disease Detection using Deep Learning</t>
        </is>
      </c>
      <c r="D48" s="62" t="inlineStr">
        <is>
          <t>IEEE IConSCEPT, 2024</t>
        </is>
      </c>
      <c r="E48" s="62" t="n">
        <v>2024</v>
      </c>
      <c r="F48" s="62" t="inlineStr">
        <is>
          <t>10.1109/IConSCEPT61884.2024.10627918</t>
        </is>
      </c>
      <c r="G48" s="62" t="inlineStr">
        <is>
          <t>Modelos ensemble y explicabilidad</t>
        </is>
      </c>
      <c r="H48" s="62" t="inlineStr">
        <is>
          <t>Usa ensemble de ResNet, MobileNetV2 y EfficientNet con Grad-CAM. Es comparable para justificar explicabilidad y transferencia a aguacate.</t>
        </is>
      </c>
      <c r="I48" s="62" t="inlineStr">
        <is>
          <t>Ficha bibliográfica</t>
        </is>
      </c>
      <c r="J48" s="62" t="inlineStr">
        <is>
          <t>2024 International Conference on Signal Processing, Computation, Electronics, Power and Telecommunication</t>
        </is>
      </c>
      <c r="K48" s="62" t="inlineStr">
        <is>
          <t>Ficha local</t>
        </is>
      </c>
      <c r="L48" s="63" t="inlineStr">
        <is>
          <t>C:\Users\plusm\Desktop\Tesis\Bibliografia\Cultivos comparativos\IEEE Xplore\Image-Based Plant Leaf Disease Detection using Deep Learning.md</t>
        </is>
      </c>
    </row>
    <row r="49" ht="60" customHeight="1" s="34">
      <c r="A49" s="62" t="inlineStr">
        <is>
          <t>B0046</t>
        </is>
      </c>
      <c r="B49" s="62" t="inlineStr">
        <is>
          <t>IEEE Xplore</t>
        </is>
      </c>
      <c r="C49" s="62" t="inlineStr">
        <is>
          <t>Plant Leaf Disease Detection, Classification, and Diagnosis Using Computer Vision and Artificial Intelligence: A Review</t>
        </is>
      </c>
      <c r="D49" s="62" t="inlineStr">
        <is>
          <t>Revision IEEE Access, 2024</t>
        </is>
      </c>
      <c r="E49" s="62" t="n">
        <v>2024</v>
      </c>
      <c r="F49" s="62" t="inlineStr">
        <is>
          <t>10.1109/ACCESS.2024.3373001</t>
        </is>
      </c>
      <c r="G49" s="62" t="inlineStr">
        <is>
          <t>Deteccion de enfermedades foliares con IA</t>
        </is>
      </c>
      <c r="H49" s="62" t="inlineStr">
        <is>
          <t>Revision amplia y de acceso abierto bajo licencia Creative Commons sobre deteccion, clasificacion y diagnostico de enfermedades foliares.</t>
        </is>
      </c>
      <c r="I49" s="62" t="inlineStr">
        <is>
          <t>Ficha bibliográfica</t>
        </is>
      </c>
      <c r="J49" s="62" t="inlineStr">
        <is>
          <t>IEEE Access, vol. 12, pp. 37443-37469</t>
        </is>
      </c>
      <c r="K49" s="62" t="inlineStr">
        <is>
          <t>Ficha local</t>
        </is>
      </c>
      <c r="L49" s="63" t="inlineStr">
        <is>
          <t>C:\Users\plusm\Desktop\Tesis\Bibliografia\Vision artificial y UAV\IEEE Xplore\Plant Leaf Disease Detection_ Classification_ and Diagnosis Using Computer Vision and Artificial Intelligence_ A Review.md</t>
        </is>
      </c>
    </row>
    <row r="50" ht="60" customHeight="1" s="34">
      <c r="A50" s="62" t="inlineStr">
        <is>
          <t>B0047</t>
        </is>
      </c>
      <c r="B50" s="62" t="inlineStr">
        <is>
          <t>IEEE Xplore</t>
        </is>
      </c>
      <c r="C50" s="62" t="inlineStr">
        <is>
          <t>Unified Approach for Avocado Leaf Disease Classification: CNN-SVM Fusion</t>
        </is>
      </c>
      <c r="D50" s="62" t="inlineStr">
        <is>
          <t>Mir, Banerjee, Chauhan, Pokhariya y Kumar, 2024</t>
        </is>
      </c>
      <c r="E50" s="62" t="n">
        <v>2024</v>
      </c>
      <c r="F50" s="62" t="inlineStr">
        <is>
          <t>10.1109/I2CT61223.2024.10544074</t>
        </is>
      </c>
      <c r="G50" s="62" t="inlineStr">
        <is>
          <t>Aguacate enfermedades foliares</t>
        </is>
      </c>
      <c r="H50" s="62" t="inlineStr">
        <is>
          <t>Articulo IEEE especifico de enfermedades de hojas de aguacate. Clasifica Healthy, Anthracnose, Avocado Root Rot, Avocado Sunblotch y Bacterial Canker con fusion CNN-SVM.</t>
        </is>
      </c>
      <c r="I50" s="62" t="inlineStr">
        <is>
          <t>Ficha bibliográfica</t>
        </is>
      </c>
      <c r="J50" s="62" t="inlineStr">
        <is>
          <t>2024 IEEE 9th International Conference for Convergence in Technology (I2CT)</t>
        </is>
      </c>
      <c r="K50" s="62" t="inlineStr">
        <is>
          <t>Ficha local</t>
        </is>
      </c>
      <c r="L50" s="63" t="inlineStr">
        <is>
          <t>C:\Users\plusm\Desktop\Tesis\Bibliografia\Vision artificial y UAV\IEEE Xplore\Unified Approach for Avocado Leaf Disease Classification_ CNN-SVM Fusion.md</t>
        </is>
      </c>
    </row>
    <row r="51" ht="60" customHeight="1" s="34">
      <c r="A51" s="62" t="inlineStr">
        <is>
          <t>B0048</t>
        </is>
      </c>
      <c r="B51" s="62" t="inlineStr">
        <is>
          <t>IEEE Xplore</t>
        </is>
      </c>
      <c r="C51" s="62" t="inlineStr">
        <is>
          <t>CNN-Based Plant Leaf Disease Identification and Classification for Sustainable Agriculture</t>
        </is>
      </c>
      <c r="D51" s="62" t="inlineStr">
        <is>
          <t>IEEE ICMCSI, 2025</t>
        </is>
      </c>
      <c r="E51" s="62" t="n">
        <v>2025</v>
      </c>
      <c r="F51" s="62" t="inlineStr">
        <is>
          <t>10.1109/ICMCSI64620.2025.10883522</t>
        </is>
      </c>
      <c r="G51" s="62" t="inlineStr">
        <is>
          <t>CNN para clasificacion de hojas enfermas</t>
        </is>
      </c>
      <c r="H51" s="62" t="inlineStr">
        <is>
          <t>Antecedente general para clasificacion automatica de enfermedades foliares mediante CNN.</t>
        </is>
      </c>
      <c r="I51" s="62" t="inlineStr">
        <is>
          <t>Ficha bibliográfica</t>
        </is>
      </c>
      <c r="J51" s="62" t="inlineStr">
        <is>
          <t>2025 6th International Conference on Mobile Computing and Sustainable Informatics</t>
        </is>
      </c>
      <c r="K51" s="62" t="inlineStr">
        <is>
          <t>Ficha local</t>
        </is>
      </c>
      <c r="L51" s="63" t="inlineStr">
        <is>
          <t>C:\Users\plusm\Desktop\Tesis\Bibliografia\Cultivos comparativos\IEEE Xplore\CNN-Based Plant Leaf Disease Identification and Classification for Sustainable Agriculture.md</t>
        </is>
      </c>
    </row>
    <row r="52" ht="60" customHeight="1" s="34">
      <c r="A52" s="62" t="inlineStr">
        <is>
          <t>B0049</t>
        </is>
      </c>
      <c r="B52" s="62" t="inlineStr">
        <is>
          <t>IEEE Xplore</t>
        </is>
      </c>
      <c r="C52" s="62" t="inlineStr">
        <is>
          <t>Crop Disease Prediction System</t>
        </is>
      </c>
      <c r="D52" s="62" t="inlineStr">
        <is>
          <t>IEEE ICESST, 2026</t>
        </is>
      </c>
      <c r="E52" s="62" t="n">
        <v>2026</v>
      </c>
      <c r="F52" s="62" t="inlineStr">
        <is>
          <t>10.1109/ICESST69086.2026.11582865</t>
        </is>
      </c>
      <c r="G52" s="62" t="inlineStr">
        <is>
          <t>Sistemas moviles para diagnostico agricola</t>
        </is>
      </c>
      <c r="H52" s="62" t="inlineStr">
        <is>
          <t>Sistema con CNN y aplicacion movil. Sirve como antecedente de despliegue practico.</t>
        </is>
      </c>
      <c r="I52" s="62" t="inlineStr">
        <is>
          <t>Ficha bibliográfica</t>
        </is>
      </c>
      <c r="J52" s="62" t="inlineStr">
        <is>
          <t>2026 IEEE International Conference on Emerging Synergy Science and Technology</t>
        </is>
      </c>
      <c r="K52" s="62" t="inlineStr">
        <is>
          <t>Ficha local</t>
        </is>
      </c>
      <c r="L52" s="63" t="inlineStr">
        <is>
          <t>C:\Users\plusm\Desktop\Tesis\Bibliografia\Vision artificial y UAV\IEEE Xplore\Crop Disease Prediction System.md</t>
        </is>
      </c>
    </row>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57"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16.8" customHeight="1" s="34"/>
    <row r="591" ht="51" customHeight="1" s="34"/>
  </sheetData>
  <autoFilter ref="A3:L52"/>
  <mergeCells count="2">
    <mergeCell ref="A2:L2"/>
    <mergeCell ref="A1:L1"/>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5"/>
  <sheetViews>
    <sheetView zoomScale="81" zoomScaleNormal="81" workbookViewId="0">
      <selection activeCell="C597" sqref="C597"/>
    </sheetView>
  </sheetViews>
  <sheetFormatPr baseColWidth="10" defaultColWidth="8.88671875" defaultRowHeight="14.4"/>
  <cols>
    <col width="12" customWidth="1" style="34" min="1" max="1"/>
    <col width="16" customWidth="1" style="34" min="2" max="2"/>
    <col width="55" customWidth="1" style="34" min="3" max="3"/>
    <col width="24" customWidth="1" style="34" min="4" max="4"/>
    <col width="55" customWidth="1" style="34" min="5" max="5"/>
    <col width="55" customWidth="1" style="34" min="6" max="6"/>
    <col width="12" customWidth="1" style="34" min="7" max="7"/>
    <col width="25" customWidth="1" style="34" min="8" max="8"/>
    <col width="12" customWidth="1" style="34" min="9" max="9"/>
    <col width="16.33203125" customWidth="1" style="34" min="10" max="10"/>
  </cols>
  <sheetData>
    <row r="1" ht="17.55" customHeight="1" s="34">
      <c r="A1" s="49" t="inlineStr">
        <is>
          <t>Duplicados_y_exclusion</t>
        </is>
      </c>
    </row>
    <row r="2" ht="28.8" customHeight="1" s="34">
      <c r="A2" s="33" t="inlineStr">
        <is>
          <t>Primer filtro: marca y descarta duplicados (mismo DOI/título) y exclusiones (revisiones/surveys). Conserva un único registro por estudio. Cada descarte lleva su motivo.</t>
        </is>
      </c>
    </row>
    <row r="3">
      <c r="A3" s="50" t="inlineStr">
        <is>
          <t>ID original</t>
        </is>
      </c>
      <c r="B3" s="50" t="inlineStr">
        <is>
          <t>Base de datos</t>
        </is>
      </c>
      <c r="C3" s="50" t="inlineStr">
        <is>
          <t>Título completo</t>
        </is>
      </c>
      <c r="D3" s="50" t="inlineStr">
        <is>
          <t>DOI</t>
        </is>
      </c>
      <c r="E3" s="50" t="inlineStr">
        <is>
          <t>Tipo de exclusión</t>
        </is>
      </c>
      <c r="F3" s="50" t="inlineStr">
        <is>
          <t>Motivo de exclusión</t>
        </is>
      </c>
      <c r="G3" s="50" t="inlineStr">
        <is>
          <t>Duplicado</t>
        </is>
      </c>
      <c r="H3" s="50" t="inlineStr">
        <is>
          <t>Tipo de estudio detectado</t>
        </is>
      </c>
      <c r="I3" s="50" t="inlineStr">
        <is>
          <t>Decisión</t>
        </is>
      </c>
      <c r="J3" s="9" t="n"/>
    </row>
    <row r="4" ht="33.6" customHeight="1" s="34">
      <c r="A4" s="51" t="inlineStr">
        <is>
          <t>H0001</t>
        </is>
      </c>
      <c r="B4" s="51" t="inlineStr">
        <is>
          <t>IEEE Xplore</t>
        </is>
      </c>
      <c r="C4" s="51" t="inlineStr">
        <is>
          <t>Unified Approach for Avocado Leaf Disease Classification: CNN-SVM Fusion</t>
        </is>
      </c>
      <c r="D4" s="51" t="inlineStr">
        <is>
          <t>10.1109/I2CT61223.2024.10544074</t>
        </is>
      </c>
      <c r="E4" s="51" t="inlineStr"/>
      <c r="F4" s="51" t="inlineStr"/>
      <c r="G4" s="51" t="inlineStr">
        <is>
          <t>No</t>
        </is>
      </c>
      <c r="H4" s="51" t="inlineStr">
        <is>
          <t>Conference paper</t>
        </is>
      </c>
      <c r="I4" s="51" t="inlineStr">
        <is>
          <t>Conservar</t>
        </is>
      </c>
      <c r="J4" s="53" t="n"/>
    </row>
    <row r="5" ht="33.6" customHeight="1" s="34">
      <c r="A5" s="51" t="inlineStr">
        <is>
          <t>H0002</t>
        </is>
      </c>
      <c r="B5" s="51" t="inlineStr">
        <is>
          <t>IEEE Xplore</t>
        </is>
      </c>
      <c r="C5" s="51" t="inlineStr">
        <is>
          <t>Plant Leaf Disease Detection, Classification, and Diagnosis Using Computer Vision and Artificial Intelligence: A Review</t>
        </is>
      </c>
      <c r="D5" s="51" t="inlineStr">
        <is>
          <t>10.1109/ACCESS.2024.3373001</t>
        </is>
      </c>
      <c r="E5" s="51" t="inlineStr">
        <is>
          <t>Revisión</t>
        </is>
      </c>
      <c r="F5" s="51" t="inlineStr">
        <is>
          <t>Se conserva como apoyo del estado del arte, no como estudio primario principal.</t>
        </is>
      </c>
      <c r="G5" s="51" t="inlineStr">
        <is>
          <t>No</t>
        </is>
      </c>
      <c r="H5" s="51" t="inlineStr">
        <is>
          <t>Review</t>
        </is>
      </c>
      <c r="I5" s="51" t="inlineStr">
        <is>
          <t>Reserva</t>
        </is>
      </c>
      <c r="J5" s="53" t="n"/>
    </row>
    <row r="6" ht="33.6" customHeight="1" s="34">
      <c r="A6" s="51" t="inlineStr">
        <is>
          <t>H0003</t>
        </is>
      </c>
      <c r="B6" s="51" t="inlineStr">
        <is>
          <t>IEEE Xplore</t>
        </is>
      </c>
      <c r="C6" s="51" t="inlineStr">
        <is>
          <t>Real-Time Detection and Identification of Plant Leaf Diseases using YOLOv4-tiny</t>
        </is>
      </c>
      <c r="D6" s="51" t="inlineStr">
        <is>
          <t>10.1109/ICCCNT51525.2021.9579783</t>
        </is>
      </c>
      <c r="E6" s="51" t="inlineStr"/>
      <c r="F6" s="51" t="inlineStr"/>
      <c r="G6" s="51" t="inlineStr">
        <is>
          <t>No</t>
        </is>
      </c>
      <c r="H6" s="51" t="inlineStr">
        <is>
          <t>Conference paper</t>
        </is>
      </c>
      <c r="I6" s="51" t="inlineStr">
        <is>
          <t>Conservar</t>
        </is>
      </c>
      <c r="J6" s="53" t="n"/>
    </row>
    <row r="7" ht="33.6" customHeight="1" s="34">
      <c r="A7" s="51" t="inlineStr">
        <is>
          <t>H0004</t>
        </is>
      </c>
      <c r="B7" s="51" t="inlineStr">
        <is>
          <t>Scientific Reports</t>
        </is>
      </c>
      <c r="C7" s="51" t="inlineStr">
        <is>
          <t>Spectrally optimised YOLOv10s-SeqOpt framework for real-time UAV-based early detection of avocado foliar diseases in Indian orchards</t>
        </is>
      </c>
      <c r="D7" s="51" t="inlineStr">
        <is>
          <t>10.1038/s41598-026-50025-z</t>
        </is>
      </c>
      <c r="E7" s="51" t="inlineStr"/>
      <c r="F7" s="51" t="inlineStr"/>
      <c r="G7" s="51" t="inlineStr">
        <is>
          <t>No</t>
        </is>
      </c>
      <c r="H7" s="51" t="inlineStr">
        <is>
          <t>Article</t>
        </is>
      </c>
      <c r="I7" s="51" t="inlineStr">
        <is>
          <t>Conservar</t>
        </is>
      </c>
      <c r="J7" s="53" t="n"/>
    </row>
    <row r="8" ht="33.6" customHeight="1" s="34">
      <c r="A8" s="51" t="inlineStr">
        <is>
          <t>H0005</t>
        </is>
      </c>
      <c r="B8" s="51" t="inlineStr">
        <is>
          <t>AgriEngineering</t>
        </is>
      </c>
      <c r="C8" s="51" t="inlineStr">
        <is>
          <t>Spatial Mapping of Avocado Anthracnose Severity Using UAV-Derived Vegetation Indices in Amazonas, Peru</t>
        </is>
      </c>
      <c r="D8" s="51" t="inlineStr"/>
      <c r="E8" s="51" t="inlineStr"/>
      <c r="F8" s="51" t="inlineStr"/>
      <c r="G8" s="51" t="inlineStr">
        <is>
          <t>No</t>
        </is>
      </c>
      <c r="H8" s="51" t="inlineStr">
        <is>
          <t>Article</t>
        </is>
      </c>
      <c r="I8" s="51" t="inlineStr">
        <is>
          <t>Conservar</t>
        </is>
      </c>
      <c r="J8" s="53" t="n"/>
    </row>
    <row r="9" ht="33.6" customHeight="1" s="34">
      <c r="A9" s="51" t="inlineStr">
        <is>
          <t>H0006</t>
        </is>
      </c>
      <c r="B9" s="51" t="inlineStr">
        <is>
          <t>International Journal of Plant Biology</t>
        </is>
      </c>
      <c r="C9" s="51" t="inlineStr">
        <is>
          <t>Colletotrichum fructicola Causes Necrotic Leaf Lesions in Avocado (Persea americana) in Amazonas, Peru: First Record and In Vitro Control Using Piper Essential Oils</t>
        </is>
      </c>
      <c r="D9" s="51" t="inlineStr"/>
      <c r="E9" s="51" t="inlineStr"/>
      <c r="F9" s="51" t="inlineStr"/>
      <c r="G9" s="51" t="inlineStr">
        <is>
          <t>No</t>
        </is>
      </c>
      <c r="H9" s="51" t="inlineStr">
        <is>
          <t>Article</t>
        </is>
      </c>
      <c r="I9" s="51" t="inlineStr">
        <is>
          <t>Conservar</t>
        </is>
      </c>
      <c r="J9" s="53" t="n"/>
    </row>
    <row r="10" ht="33.6" customHeight="1" s="34">
      <c r="A10" s="51" t="inlineStr">
        <is>
          <t>H0007</t>
        </is>
      </c>
      <c r="B10" s="51" t="inlineStr">
        <is>
          <t>Revista Colombiana de Ciencias Hortícolas</t>
        </is>
      </c>
      <c r="C10" s="51" t="inlineStr">
        <is>
          <t>Validation of black spot management strategies in avocado crops in northern Tolima (Colombia)</t>
        </is>
      </c>
      <c r="D10" s="51" t="inlineStr">
        <is>
          <t>10.17584/rcch.2020v14i2.10169</t>
        </is>
      </c>
      <c r="E10" s="51" t="inlineStr"/>
      <c r="F10" s="51" t="inlineStr"/>
      <c r="G10" s="51" t="inlineStr">
        <is>
          <t>No</t>
        </is>
      </c>
      <c r="H10" s="51" t="inlineStr">
        <is>
          <t>Article</t>
        </is>
      </c>
      <c r="I10" s="51" t="inlineStr">
        <is>
          <t>Conservar</t>
        </is>
      </c>
      <c r="J10" s="53" t="n"/>
    </row>
    <row r="11" ht="33.6" customHeight="1" s="34">
      <c r="A11" s="51" t="inlineStr">
        <is>
          <t>H0008</t>
        </is>
      </c>
      <c r="B11" s="51" t="inlineStr">
        <is>
          <t>Journal of Sol-Gel Science and Technology</t>
        </is>
      </c>
      <c r="C11" s="51" t="inlineStr">
        <is>
          <t>Silica-based nanomaterials for the control of Trioza anceps: Laboratory bioassays and preliminary field observations</t>
        </is>
      </c>
      <c r="D11" s="51" t="inlineStr">
        <is>
          <t>10.1007/s10971-026-07179-z</t>
        </is>
      </c>
      <c r="E11" s="51" t="inlineStr"/>
      <c r="F11" s="51" t="inlineStr"/>
      <c r="G11" s="51" t="inlineStr">
        <is>
          <t>No</t>
        </is>
      </c>
      <c r="H11" s="51" t="inlineStr">
        <is>
          <t>Article</t>
        </is>
      </c>
      <c r="I11" s="51" t="inlineStr">
        <is>
          <t>Conservar</t>
        </is>
      </c>
      <c r="J11" s="53" t="n"/>
    </row>
    <row r="12" ht="33.6" customHeight="1" s="34">
      <c r="A12" s="51" t="inlineStr">
        <is>
          <t>H0009</t>
        </is>
      </c>
      <c r="B12" s="51" t="inlineStr">
        <is>
          <t>Journal of Economic Entomology</t>
        </is>
      </c>
      <c r="C12" s="51" t="inlineStr">
        <is>
          <t>Biocontrol Potential of Neoseiulus californicus Against Oligonychus punicae in Avocado</t>
        </is>
      </c>
      <c r="D12" s="51" t="inlineStr">
        <is>
          <t>10.1093/jee/toab029</t>
        </is>
      </c>
      <c r="E12" s="51" t="inlineStr"/>
      <c r="F12" s="51" t="inlineStr"/>
      <c r="G12" s="51" t="inlineStr">
        <is>
          <t>No</t>
        </is>
      </c>
      <c r="H12" s="51" t="inlineStr">
        <is>
          <t>Article</t>
        </is>
      </c>
      <c r="I12" s="51" t="inlineStr">
        <is>
          <t>Conservar</t>
        </is>
      </c>
      <c r="J12" s="53" t="n"/>
    </row>
    <row r="13" ht="33.6" customHeight="1" s="34">
      <c r="A13" s="51" t="inlineStr">
        <is>
          <t>H0010</t>
        </is>
      </c>
      <c r="B13" s="51" t="inlineStr">
        <is>
          <t>Plant Health Progress</t>
        </is>
      </c>
      <c r="C13" s="51" t="inlineStr">
        <is>
          <t>Avocado Scab Caused by Elsinoe perseae: A Diagnostic Guide</t>
        </is>
      </c>
      <c r="D13" s="51" t="inlineStr">
        <is>
          <t>10.1094/PHP-10-23-0084-DG</t>
        </is>
      </c>
      <c r="E13" s="51" t="inlineStr"/>
      <c r="F13" s="51" t="inlineStr"/>
      <c r="G13" s="51" t="inlineStr">
        <is>
          <t>No</t>
        </is>
      </c>
      <c r="H13" s="51" t="inlineStr">
        <is>
          <t>Diagnostic guide</t>
        </is>
      </c>
      <c r="I13" s="51" t="inlineStr">
        <is>
          <t>Conservar</t>
        </is>
      </c>
      <c r="J13" s="53" t="n"/>
    </row>
    <row r="14" ht="33.6" customHeight="1" s="34">
      <c r="A14" s="51" t="inlineStr">
        <is>
          <t>H0011</t>
        </is>
      </c>
      <c r="B14" s="51" t="inlineStr">
        <is>
          <t>Journal</t>
        </is>
      </c>
      <c r="C14" s="51" t="inlineStr">
        <is>
          <t>Real-time hass avocado ripeness detection using close-range UAV imagery and YOLO-based deep learning</t>
        </is>
      </c>
      <c r="D14" s="51" t="inlineStr"/>
      <c r="E14" s="51" t="inlineStr"/>
      <c r="F14" s="51" t="inlineStr"/>
      <c r="G14" s="51" t="inlineStr">
        <is>
          <t>No</t>
        </is>
      </c>
      <c r="H14" s="51" t="inlineStr">
        <is>
          <t>Article</t>
        </is>
      </c>
      <c r="I14" s="51" t="inlineStr">
        <is>
          <t>Conservar</t>
        </is>
      </c>
      <c r="J14" s="53" t="n"/>
    </row>
    <row r="15" ht="33.6" customHeight="1" s="34">
      <c r="A15" s="51" t="inlineStr">
        <is>
          <t>H0012</t>
        </is>
      </c>
      <c r="B15" s="51" t="inlineStr">
        <is>
          <t>Scientific Reports</t>
        </is>
      </c>
      <c r="C15" s="51" t="inlineStr">
        <is>
          <t>Simultaneously prediction of multiple wheat leaf phenotypes using hyperspectral imaging with multi-task machine and deep learning</t>
        </is>
      </c>
      <c r="D15" s="51" t="inlineStr"/>
      <c r="E15" s="51" t="inlineStr"/>
      <c r="F15" s="51" t="inlineStr"/>
      <c r="G15" s="51" t="inlineStr">
        <is>
          <t>No</t>
        </is>
      </c>
      <c r="H15" s="51" t="inlineStr">
        <is>
          <t>Article</t>
        </is>
      </c>
      <c r="I15" s="51" t="inlineStr">
        <is>
          <t>Conservar</t>
        </is>
      </c>
      <c r="J15" s="53" t="n"/>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33.6"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33.6" customHeight="1" s="34"/>
    <row r="591" ht="33.6" customHeight="1" s="34"/>
  </sheetData>
  <autoFilter ref="A3:J15"/>
  <mergeCells count="2">
    <mergeCell ref="A1:I1"/>
    <mergeCell ref="A2:I2"/>
  </mergeCells>
  <dataValidations count="4">
    <dataValidation sqref="E4:E500" showDropDown="0" showInputMessage="0" showErrorMessage="0" allowBlank="1" type="list">
      <formula1>"Duplicado,Revisión sistemática,Fuera de alcance,Otro"</formula1>
    </dataValidation>
    <dataValidation sqref="G4:G500" showDropDown="0" showInputMessage="0" showErrorMessage="0" allowBlank="1" type="list">
      <formula1>"Sí,No"</formula1>
    </dataValidation>
    <dataValidation sqref="H4:H500" showDropDown="0" showInputMessage="0" showErrorMessage="0" allowBlank="1" type="list">
      <formula1>"Primario,Revisión,Otro"</formula1>
    </dataValidation>
    <dataValidation sqref="I4:I500" showDropDown="0" showInputMessage="0" showErrorMessage="0" allowBlank="1" type="list">
      <formula1>"Mantener,Excluir"</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15"/>
  <sheetViews>
    <sheetView zoomScale="81" zoomScaleNormal="81" workbookViewId="0">
      <selection activeCell="B212" sqref="B212"/>
    </sheetView>
  </sheetViews>
  <sheetFormatPr baseColWidth="10" defaultColWidth="8.88671875" defaultRowHeight="14.4"/>
  <cols>
    <col width="12.33203125" customWidth="1" style="34" min="1" max="1"/>
    <col width="16" customWidth="1" style="34" min="2" max="2"/>
    <col width="55" customWidth="1" style="34" min="3" max="3"/>
    <col width="45" customWidth="1" style="34" min="4" max="4"/>
    <col width="55" customWidth="1" style="34" min="5" max="9"/>
    <col width="13" customWidth="1" style="34" min="6" max="6"/>
    <col width="13" customWidth="1" style="34" min="7" max="7"/>
    <col width="13" customWidth="1" style="34" min="8" max="8"/>
    <col width="13" customWidth="1" style="34" min="9" max="9"/>
    <col width="37.109375" customWidth="1" style="34" min="10" max="10"/>
    <col width="44" customWidth="1" style="34" min="11" max="11"/>
    <col width="35" customWidth="1" style="34" min="12" max="12"/>
    <col width="55" customWidth="1" style="34" min="13" max="13"/>
    <col width="30" customWidth="1" style="34" min="14" max="14"/>
  </cols>
  <sheetData>
    <row r="1" ht="17.55" customHeight="1" s="34">
      <c r="A1" s="49" t="inlineStr">
        <is>
          <t>Tamizaje_Titulo_Abstract_Keywords</t>
        </is>
      </c>
    </row>
    <row r="2" ht="28.8" customHeight="1" s="34">
      <c r="A2" s="33" t="inlineStr">
        <is>
          <t>Cribado por título, abstract y keywords. Registra la evidencia de cada eje y decide si el registro pasa a evaluación de calidad.</t>
        </is>
      </c>
    </row>
    <row r="3" ht="28.8" customHeight="1" s="34">
      <c r="A3" s="50" t="inlineStr">
        <is>
          <t>ID</t>
        </is>
      </c>
      <c r="B3" s="50" t="inlineStr">
        <is>
          <t>Base de datos</t>
        </is>
      </c>
      <c r="C3" s="50" t="inlineStr">
        <is>
          <t>Título completo</t>
        </is>
      </c>
      <c r="D3" s="50" t="inlineStr">
        <is>
          <t>Keywords principales</t>
        </is>
      </c>
      <c r="E3" s="50" t="inlineStr">
        <is>
          <t>Resumen técnico del abstract</t>
        </is>
      </c>
      <c r="F3" s="50" t="inlineStr">
        <is>
          <t>Evidencia de Inteligencia Artificial</t>
        </is>
      </c>
      <c r="G3" s="50" t="inlineStr">
        <is>
          <t>Evidencia de HCI / UX / UCD / usability</t>
        </is>
      </c>
      <c r="H3" s="50" t="inlineStr">
        <is>
          <t>Evidencia de aplicación móvil</t>
        </is>
      </c>
      <c r="I3" s="50" t="inlineStr">
        <is>
          <t>Evidencia de design / framework / methodology / approach</t>
        </is>
      </c>
      <c r="J3" s="50" t="inlineStr">
        <is>
          <t>Evidencia de agricultura / farming / smart agriculture</t>
        </is>
      </c>
      <c r="K3" s="50" t="inlineStr">
        <is>
          <t>Tipo de estudio (Primario / Revisión / Otro)</t>
        </is>
      </c>
      <c r="L3" s="50" t="inlineStr">
        <is>
          <t>Nivel de alineación con el objetivo</t>
        </is>
      </c>
      <c r="M3" s="50" t="inlineStr">
        <is>
          <t>Motivo de clasificación</t>
        </is>
      </c>
      <c r="N3" s="50" t="inlineStr">
        <is>
          <t>¿Pasa a evaluación de calidad?</t>
        </is>
      </c>
    </row>
    <row r="4" ht="33.6" customHeight="1" s="34">
      <c r="A4" s="51" t="inlineStr">
        <is>
          <t>H0001</t>
        </is>
      </c>
      <c r="B4" s="51" t="inlineStr">
        <is>
          <t>IEEE Xplore</t>
        </is>
      </c>
      <c r="C4" s="51" t="inlineStr">
        <is>
          <t>Unified Approach for Avocado Leaf Disease Classification: CNN-SVM Fusion</t>
        </is>
      </c>
      <c r="D4" s="51" t="inlineStr">
        <is>
          <t>avocado leaf disease; CNN; SVM; image classification; anthracnose</t>
        </is>
      </c>
      <c r="E4" s="51" t="inlineStr">
        <is>
          <t>Study focused on avocado leaf disease classification using a CNN-SVM fusion approach. It is directly aligned with automated diagnosis of foliar diseases in Persea americana.</t>
        </is>
      </c>
      <c r="F4" s="51" t="inlineStr">
        <is>
          <t>Sí: CNN-SVM</t>
        </is>
      </c>
      <c r="G4" s="51" t="inlineStr">
        <is>
          <t>Parcial: se evaluará para interfaz/app móvil si aporta a la propuesta</t>
        </is>
      </c>
      <c r="H4" s="51" t="inlineStr">
        <is>
          <t>No explícita</t>
        </is>
      </c>
      <c r="I4" s="51" t="inlineStr">
        <is>
          <t>Sí: aporta método, diagnóstico, clasificación o criterio de revisión</t>
        </is>
      </c>
      <c r="J4" s="51" t="inlineStr">
        <is>
          <t>Sí: aguacate, enfermedad foliar</t>
        </is>
      </c>
      <c r="K4" s="51" t="inlineStr">
        <is>
          <t>Conference paper</t>
        </is>
      </c>
      <c r="L4" s="51" t="inlineStr">
        <is>
          <t>Alta</t>
        </is>
      </c>
      <c r="M4" s="51" t="inlineStr">
        <is>
          <t>IA aplicada a hojas de aguacate</t>
        </is>
      </c>
      <c r="N4" s="51" t="inlineStr">
        <is>
          <t>Sí</t>
        </is>
      </c>
    </row>
    <row r="5" ht="33.6" customHeight="1" s="34">
      <c r="A5" s="51" t="inlineStr">
        <is>
          <t>H0002</t>
        </is>
      </c>
      <c r="B5" s="51" t="inlineStr">
        <is>
          <t>IEEE Xplore</t>
        </is>
      </c>
      <c r="C5" s="51" t="inlineStr">
        <is>
          <t>Plant Leaf Disease Detection, Classification, and Diagnosis Using Computer Vision and Artificial Intelligence: A Review</t>
        </is>
      </c>
      <c r="D5" s="51" t="inlineStr">
        <is>
          <t>plant leaf disease; computer vision; artificial intelligence; deep learning; review</t>
        </is>
      </c>
      <c r="E5" s="51" t="inlineStr">
        <is>
          <t>Review of plant leaf disease detection, classification and diagnosis using computer vision and artificial intelligence.</t>
        </is>
      </c>
      <c r="F5" s="51" t="inlineStr">
        <is>
          <t>Sí: IA, computer vision, deep learning</t>
        </is>
      </c>
      <c r="G5" s="51" t="inlineStr">
        <is>
          <t>Parcial: se evaluará para interfaz/app móvil si aporta a la propuesta</t>
        </is>
      </c>
      <c r="H5" s="51" t="inlineStr">
        <is>
          <t>No explícita</t>
        </is>
      </c>
      <c r="I5" s="51" t="inlineStr">
        <is>
          <t>Sí: aporta método, diagnóstico, clasificación o criterio de revisión</t>
        </is>
      </c>
      <c r="J5" s="51" t="inlineStr">
        <is>
          <t>Sí: enfermedades foliares</t>
        </is>
      </c>
      <c r="K5" s="51" t="inlineStr">
        <is>
          <t>Review</t>
        </is>
      </c>
      <c r="L5" s="51" t="inlineStr">
        <is>
          <t>Media</t>
        </is>
      </c>
      <c r="M5" s="51" t="inlineStr">
        <is>
          <t>Estado del arte IA foliar</t>
        </is>
      </c>
      <c r="N5" s="51" t="inlineStr">
        <is>
          <t>Sí</t>
        </is>
      </c>
    </row>
    <row r="6" ht="33.6" customHeight="1" s="34">
      <c r="A6" s="51" t="inlineStr">
        <is>
          <t>H0003</t>
        </is>
      </c>
      <c r="B6" s="51" t="inlineStr">
        <is>
          <t>IEEE Xplore</t>
        </is>
      </c>
      <c r="C6" s="51" t="inlineStr">
        <is>
          <t>Real-Time Detection and Identification of Plant Leaf Diseases using YOLOv4-tiny</t>
        </is>
      </c>
      <c r="D6" s="51" t="inlineStr">
        <is>
          <t>YOLOv4-tiny; plant leaf disease; real-time detection; object detection</t>
        </is>
      </c>
      <c r="E6" s="51" t="inlineStr">
        <is>
          <t>Methodological antecedent for real-time detection and identification of plant leaf diseases using a lightweight YOLO model.</t>
        </is>
      </c>
      <c r="F6" s="51" t="inlineStr">
        <is>
          <t>Sí: YOLOv4-tiny</t>
        </is>
      </c>
      <c r="G6" s="51" t="inlineStr">
        <is>
          <t>Parcial: se evaluará para interfaz/app móvil si aporta a la propuesta</t>
        </is>
      </c>
      <c r="H6" s="51" t="inlineStr">
        <is>
          <t>No explícita</t>
        </is>
      </c>
      <c r="I6" s="51" t="inlineStr">
        <is>
          <t>Sí: aporta método, diagnóstico, clasificación o criterio de revisión</t>
        </is>
      </c>
      <c r="J6" s="51" t="inlineStr">
        <is>
          <t>Sí: enfermedad foliar vegetal</t>
        </is>
      </c>
      <c r="K6" s="51" t="inlineStr">
        <is>
          <t>Conference paper</t>
        </is>
      </c>
      <c r="L6" s="51" t="inlineStr">
        <is>
          <t>Media</t>
        </is>
      </c>
      <c r="M6" s="51" t="inlineStr">
        <is>
          <t>YOLO para enfermedades foliares</t>
        </is>
      </c>
      <c r="N6" s="51" t="inlineStr">
        <is>
          <t>Sí</t>
        </is>
      </c>
    </row>
    <row r="7" ht="33.6" customHeight="1" s="34">
      <c r="A7" s="51" t="inlineStr">
        <is>
          <t>H0004</t>
        </is>
      </c>
      <c r="B7" s="51" t="inlineStr">
        <is>
          <t>Scientific Reports</t>
        </is>
      </c>
      <c r="C7" s="51" t="inlineStr">
        <is>
          <t>Spectrally optimised YOLOv10s-SeqOpt framework for real-time UAV-based early detection of avocado foliar diseases in Indian orchards</t>
        </is>
      </c>
      <c r="D7" s="51" t="inlineStr">
        <is>
          <t>avocado; foliar diseases; UAV; YOLOv10s; deep learning; early detection</t>
        </is>
      </c>
      <c r="E7" s="51" t="inlineStr">
        <is>
          <t>Direct study on UAV-based early detection of avocado foliar diseases using an optimized YOLOv10s framework.</t>
        </is>
      </c>
      <c r="F7" s="51" t="inlineStr">
        <is>
          <t>Sí: YOLOv10s, deep learning</t>
        </is>
      </c>
      <c r="G7" s="51" t="inlineStr">
        <is>
          <t>Parcial: se evaluará para interfaz/app móvil si aporta a la propuesta</t>
        </is>
      </c>
      <c r="H7" s="51" t="inlineStr">
        <is>
          <t>No explícita</t>
        </is>
      </c>
      <c r="I7" s="51" t="inlineStr">
        <is>
          <t>Sí: aporta método, diagnóstico, clasificación o criterio de revisión</t>
        </is>
      </c>
      <c r="J7" s="51" t="inlineStr">
        <is>
          <t>Sí: aguacate, enfermedades foliares</t>
        </is>
      </c>
      <c r="K7" s="51" t="inlineStr">
        <is>
          <t>Article</t>
        </is>
      </c>
      <c r="L7" s="51" t="inlineStr">
        <is>
          <t>Alta</t>
        </is>
      </c>
      <c r="M7" s="51" t="inlineStr">
        <is>
          <t>UAV e IA en aguacate</t>
        </is>
      </c>
      <c r="N7" s="51" t="inlineStr">
        <is>
          <t>Sí</t>
        </is>
      </c>
    </row>
    <row r="8" ht="33.6" customHeight="1" s="34">
      <c r="A8" s="51" t="inlineStr">
        <is>
          <t>H0005</t>
        </is>
      </c>
      <c r="B8" s="51" t="inlineStr">
        <is>
          <t>AgriEngineering</t>
        </is>
      </c>
      <c r="C8" s="51" t="inlineStr">
        <is>
          <t>Spatial Mapping of Avocado Anthracnose Severity Using UAV-Derived Vegetation Indices in Amazonas, Peru</t>
        </is>
      </c>
      <c r="D8" s="51" t="inlineStr">
        <is>
          <t>avocado; anthracnose; UAV; vegetation indices; severity mapping; Peru</t>
        </is>
      </c>
      <c r="E8" s="51" t="inlineStr">
        <is>
          <t>Maps avocado anthracnose severity using UAV-derived vegetation indices in Amazonas, Peru.</t>
        </is>
      </c>
      <c r="F8" s="51" t="inlineStr">
        <is>
          <t>Parcial: índices de vegetación y análisis espacial</t>
        </is>
      </c>
      <c r="G8" s="51" t="inlineStr">
        <is>
          <t>Parcial: se evaluará para interfaz/app móvil si aporta a la propuesta</t>
        </is>
      </c>
      <c r="H8" s="51" t="inlineStr">
        <is>
          <t>No</t>
        </is>
      </c>
      <c r="I8" s="51" t="inlineStr">
        <is>
          <t>Sí: aporta método, diagnóstico, clasificación o criterio de revisión</t>
        </is>
      </c>
      <c r="J8" s="51" t="inlineStr">
        <is>
          <t>Sí: aguacate, antracnosis</t>
        </is>
      </c>
      <c r="K8" s="51" t="inlineStr">
        <is>
          <t>Article</t>
        </is>
      </c>
      <c r="L8" s="51" t="inlineStr">
        <is>
          <t>Alta</t>
        </is>
      </c>
      <c r="M8" s="51" t="inlineStr">
        <is>
          <t>Antracnosis y UAV</t>
        </is>
      </c>
      <c r="N8" s="51" t="inlineStr">
        <is>
          <t>Sí</t>
        </is>
      </c>
    </row>
    <row r="9" ht="33.6" customHeight="1" s="34">
      <c r="A9" s="51" t="inlineStr">
        <is>
          <t>H0006</t>
        </is>
      </c>
      <c r="B9" s="51" t="inlineStr">
        <is>
          <t>International Journal of Plant Biology</t>
        </is>
      </c>
      <c r="C9" s="51" t="inlineStr">
        <is>
          <t>Colletotrichum fructicola Causes Necrotic Leaf Lesions in Avocado (Persea americana) in Amazonas, Peru: First Record and In Vitro Control Using Piper Essential Oils</t>
        </is>
      </c>
      <c r="D9" s="51" t="inlineStr">
        <is>
          <t>Colletotrichum fructicola; avocado; necrotic leaf lesions; Peru; leaf disease</t>
        </is>
      </c>
      <c r="E9" s="51" t="inlineStr">
        <is>
          <t>Reports Colletotrichum fructicola causing necrotic leaf lesions in avocado in Amazonas, Peru.</t>
        </is>
      </c>
      <c r="F9" s="51" t="inlineStr">
        <is>
          <t>No</t>
        </is>
      </c>
      <c r="G9" s="51" t="inlineStr">
        <is>
          <t>Parcial: se evaluará para interfaz/app móvil si aporta a la propuesta</t>
        </is>
      </c>
      <c r="H9" s="51" t="inlineStr">
        <is>
          <t>No</t>
        </is>
      </c>
      <c r="I9" s="51" t="inlineStr">
        <is>
          <t>Parcial: aporta base fitosanitaria</t>
        </is>
      </c>
      <c r="J9" s="51" t="inlineStr">
        <is>
          <t>Sí: aguacate, lesiones foliares</t>
        </is>
      </c>
      <c r="K9" s="51" t="inlineStr">
        <is>
          <t>Article</t>
        </is>
      </c>
      <c r="L9" s="51" t="inlineStr">
        <is>
          <t>Alta</t>
        </is>
      </c>
      <c r="M9" s="51" t="inlineStr">
        <is>
          <t>Lesiones foliares necroticas</t>
        </is>
      </c>
      <c r="N9" s="51" t="inlineStr">
        <is>
          <t>Sí</t>
        </is>
      </c>
    </row>
    <row r="10" ht="33.6" customHeight="1" s="34">
      <c r="A10" s="51" t="inlineStr">
        <is>
          <t>H0007</t>
        </is>
      </c>
      <c r="B10" s="51" t="inlineStr">
        <is>
          <t>Revista Colombiana de Ciencias Hortícolas</t>
        </is>
      </c>
      <c r="C10" s="51" t="inlineStr">
        <is>
          <t>Validation of black spot management strategies in avocado crops in northern Tolima (Colombia)</t>
        </is>
      </c>
      <c r="D10" s="51" t="inlineStr">
        <is>
          <t>Pseudocercospora purpurea; avocado; black spot; Cercospora; management</t>
        </is>
      </c>
      <c r="E10" s="51" t="inlineStr">
        <is>
          <t>Evaluates management strategies for black spot caused by Pseudocercospora purpurea in avocado crops in Colombia.</t>
        </is>
      </c>
      <c r="F10" s="51" t="inlineStr">
        <is>
          <t>No</t>
        </is>
      </c>
      <c r="G10" s="51" t="inlineStr">
        <is>
          <t>Parcial: se evaluará para interfaz/app móvil si aporta a la propuesta</t>
        </is>
      </c>
      <c r="H10" s="51" t="inlineStr">
        <is>
          <t>No</t>
        </is>
      </c>
      <c r="I10" s="51" t="inlineStr">
        <is>
          <t>Parcial: aporta base fitosanitaria</t>
        </is>
      </c>
      <c r="J10" s="51" t="inlineStr">
        <is>
          <t>Sí: aguacate, mancha negra</t>
        </is>
      </c>
      <c r="K10" s="51" t="inlineStr">
        <is>
          <t>Article</t>
        </is>
      </c>
      <c r="L10" s="51" t="inlineStr">
        <is>
          <t>Alta</t>
        </is>
      </c>
      <c r="M10" s="51" t="inlineStr">
        <is>
          <t>Cercospora y mancha negra</t>
        </is>
      </c>
      <c r="N10" s="51" t="inlineStr">
        <is>
          <t>Sí</t>
        </is>
      </c>
    </row>
    <row r="11" ht="33.6" customHeight="1" s="34">
      <c r="A11" s="51" t="inlineStr">
        <is>
          <t>H0008</t>
        </is>
      </c>
      <c r="B11" s="51" t="inlineStr">
        <is>
          <t>Journal of Sol-Gel Science and Technology</t>
        </is>
      </c>
      <c r="C11" s="51" t="inlineStr">
        <is>
          <t>Silica-based nanomaterials for the control of Trioza anceps: Laboratory bioassays and preliminary field observations</t>
        </is>
      </c>
      <c r="D11" s="51" t="inlineStr">
        <is>
          <t>Trioza anceps; avocado; leaf gall; foliar gall; control</t>
        </is>
      </c>
      <c r="E11" s="51" t="inlineStr">
        <is>
          <t>Evaluates silica-based nanomaterials for control of Trioza anceps, a foliar gall pest in avocado.</t>
        </is>
      </c>
      <c r="F11" s="51" t="inlineStr">
        <is>
          <t>No</t>
        </is>
      </c>
      <c r="G11" s="51" t="inlineStr">
        <is>
          <t>Parcial: se evaluará para interfaz/app móvil si aporta a la propuesta</t>
        </is>
      </c>
      <c r="H11" s="51" t="inlineStr">
        <is>
          <t>No</t>
        </is>
      </c>
      <c r="I11" s="51" t="inlineStr">
        <is>
          <t>Parcial: aporta base fitosanitaria</t>
        </is>
      </c>
      <c r="J11" s="51" t="inlineStr">
        <is>
          <t>Sí: aguacate, Trioza anceps</t>
        </is>
      </c>
      <c r="K11" s="51" t="inlineStr">
        <is>
          <t>Article</t>
        </is>
      </c>
      <c r="L11" s="51" t="inlineStr">
        <is>
          <t>Media</t>
        </is>
      </c>
      <c r="M11" s="51" t="inlineStr">
        <is>
          <t>Agallas foliares</t>
        </is>
      </c>
      <c r="N11" s="51" t="inlineStr">
        <is>
          <t>Sí</t>
        </is>
      </c>
    </row>
    <row r="12" ht="33.6" customHeight="1" s="34">
      <c r="A12" s="51" t="inlineStr">
        <is>
          <t>H0009</t>
        </is>
      </c>
      <c r="B12" s="51" t="inlineStr">
        <is>
          <t>Journal of Economic Entomology</t>
        </is>
      </c>
      <c r="C12" s="51" t="inlineStr">
        <is>
          <t>Biocontrol Potential of Neoseiulus californicus Against Oligonychus punicae in Avocado</t>
        </is>
      </c>
      <c r="D12" s="51" t="inlineStr">
        <is>
          <t>Oligonychus punicae; avocado; mite; biocontrol; Neoseiulus californicus</t>
        </is>
      </c>
      <c r="E12" s="51" t="inlineStr">
        <is>
          <t>Evaluates the biocontrol potential of Neoseiulus californicus against Oligonychus punicae in avocado.</t>
        </is>
      </c>
      <c r="F12" s="51" t="inlineStr">
        <is>
          <t>No</t>
        </is>
      </c>
      <c r="G12" s="51" t="inlineStr">
        <is>
          <t>Parcial: se evaluará para interfaz/app móvil si aporta a la propuesta</t>
        </is>
      </c>
      <c r="H12" s="51" t="inlineStr">
        <is>
          <t>No</t>
        </is>
      </c>
      <c r="I12" s="51" t="inlineStr">
        <is>
          <t>Parcial: aporta base fitosanitaria</t>
        </is>
      </c>
      <c r="J12" s="51" t="inlineStr">
        <is>
          <t>Sí: aguacate, ácaros</t>
        </is>
      </c>
      <c r="K12" s="51" t="inlineStr">
        <is>
          <t>Article</t>
        </is>
      </c>
      <c r="L12" s="51" t="inlineStr">
        <is>
          <t>Media</t>
        </is>
      </c>
      <c r="M12" s="51" t="inlineStr">
        <is>
          <t>Araña roja y acaros</t>
        </is>
      </c>
      <c r="N12" s="51" t="inlineStr">
        <is>
          <t>Sí</t>
        </is>
      </c>
    </row>
    <row r="13" ht="33.6" customHeight="1" s="34">
      <c r="A13" s="51" t="inlineStr">
        <is>
          <t>H0010</t>
        </is>
      </c>
      <c r="B13" s="51" t="inlineStr">
        <is>
          <t>Plant Health Progress</t>
        </is>
      </c>
      <c r="C13" s="51" t="inlineStr">
        <is>
          <t>Avocado Scab Caused by Elsinoe perseae: A Diagnostic Guide</t>
        </is>
      </c>
      <c r="D13" s="51" t="inlineStr">
        <is>
          <t>avocado scab; Elsinoe perseae; diagnosis; disease guide</t>
        </is>
      </c>
      <c r="E13" s="51" t="inlineStr">
        <is>
          <t>Diagnostic guide for avocado scab caused by Elsinoe perseae.</t>
        </is>
      </c>
      <c r="F13" s="51" t="inlineStr">
        <is>
          <t>No</t>
        </is>
      </c>
      <c r="G13" s="51" t="inlineStr">
        <is>
          <t>Parcial: se evaluará para interfaz/app móvil si aporta a la propuesta</t>
        </is>
      </c>
      <c r="H13" s="51" t="inlineStr">
        <is>
          <t>No</t>
        </is>
      </c>
      <c r="I13" s="51" t="inlineStr">
        <is>
          <t>Parcial: aporta base fitosanitaria</t>
        </is>
      </c>
      <c r="J13" s="51" t="inlineStr">
        <is>
          <t>Sí: aguacate, roña</t>
        </is>
      </c>
      <c r="K13" s="51" t="inlineStr">
        <is>
          <t>Diagnostic guide</t>
        </is>
      </c>
      <c r="L13" s="51" t="inlineStr">
        <is>
          <t>Media</t>
        </is>
      </c>
      <c r="M13" s="51" t="inlineStr">
        <is>
          <t>Roña</t>
        </is>
      </c>
      <c r="N13" s="51" t="inlineStr">
        <is>
          <t>Sí</t>
        </is>
      </c>
    </row>
    <row r="14" ht="33.6" customHeight="1" s="34">
      <c r="A14" s="51" t="inlineStr">
        <is>
          <t>H0011</t>
        </is>
      </c>
      <c r="B14" s="51" t="inlineStr">
        <is>
          <t>Journal</t>
        </is>
      </c>
      <c r="C14" s="51" t="inlineStr">
        <is>
          <t>Real-time hass avocado ripeness detection using close-range UAV imagery and YOLO-based deep learning</t>
        </is>
      </c>
      <c r="D14" s="51" t="inlineStr">
        <is>
          <t>avocado; UAV imagery; YOLO; deep learning; ripeness detection</t>
        </is>
      </c>
      <c r="E14" s="51" t="inlineStr">
        <is>
          <t>Uses close-range UAV imagery and YOLO-based deep learning for real-time Hass avocado ripeness detection.</t>
        </is>
      </c>
      <c r="F14" s="51" t="inlineStr">
        <is>
          <t>Sí: YOLO, deep learning</t>
        </is>
      </c>
      <c r="G14" s="51" t="inlineStr">
        <is>
          <t>Parcial: se evaluará para interfaz/app móvil si aporta a la propuesta</t>
        </is>
      </c>
      <c r="H14" s="51" t="inlineStr">
        <is>
          <t>No</t>
        </is>
      </c>
      <c r="I14" s="51" t="inlineStr">
        <is>
          <t>Sí: aporta método, diagnóstico, clasificación o criterio de revisión</t>
        </is>
      </c>
      <c r="J14" s="51" t="inlineStr">
        <is>
          <t>Sí: aguacate</t>
        </is>
      </c>
      <c r="K14" s="51" t="inlineStr">
        <is>
          <t>Article</t>
        </is>
      </c>
      <c r="L14" s="51" t="inlineStr">
        <is>
          <t>Media</t>
        </is>
      </c>
      <c r="M14" s="51" t="inlineStr">
        <is>
          <t>YOLO y UAV en aguacate</t>
        </is>
      </c>
      <c r="N14" s="51" t="inlineStr">
        <is>
          <t>Sí</t>
        </is>
      </c>
    </row>
    <row r="15" ht="33.6" customHeight="1" s="34">
      <c r="A15" s="51" t="inlineStr">
        <is>
          <t>H0012</t>
        </is>
      </c>
      <c r="B15" s="51" t="inlineStr">
        <is>
          <t>Scientific Reports</t>
        </is>
      </c>
      <c r="C15" s="51" t="inlineStr">
        <is>
          <t>Simultaneously prediction of multiple wheat leaf phenotypes using hyperspectral imaging with multi-task machine and deep learning</t>
        </is>
      </c>
      <c r="D15" s="51" t="inlineStr">
        <is>
          <t>hyperspectral imaging; leaf phenotype; machine learning; deep learning</t>
        </is>
      </c>
      <c r="E15" s="51" t="inlineStr">
        <is>
          <t>Methodological reference for hyperspectral imaging and multi-task learning applied to leaf phenotype prediction.</t>
        </is>
      </c>
      <c r="F15" s="51" t="inlineStr">
        <is>
          <t>Sí: machine learning, deep learning</t>
        </is>
      </c>
      <c r="G15" s="51" t="inlineStr">
        <is>
          <t>Parcial: se evaluará para interfaz/app móvil si aporta a la propuesta</t>
        </is>
      </c>
      <c r="H15" s="51" t="inlineStr">
        <is>
          <t>No</t>
        </is>
      </c>
      <c r="I15" s="51" t="inlineStr">
        <is>
          <t>Sí: aporta método, diagnóstico, clasificación o criterio de revisión</t>
        </is>
      </c>
      <c r="J15" s="51" t="inlineStr">
        <is>
          <t>Sí: hojas de cultivo</t>
        </is>
      </c>
      <c r="K15" s="51" t="inlineStr">
        <is>
          <t>Article</t>
        </is>
      </c>
      <c r="L15" s="51" t="inlineStr">
        <is>
          <t>Baja</t>
        </is>
      </c>
      <c r="M15" s="51" t="inlineStr">
        <is>
          <t>Cultivos comparativos</t>
        </is>
      </c>
      <c r="N15" s="51" t="inlineStr">
        <is>
          <t>No</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autoFilter ref="A3:N15"/>
  <mergeCells count="2">
    <mergeCell ref="A2:N2"/>
    <mergeCell ref="A1:N1"/>
  </mergeCells>
  <dataValidations count="3">
    <dataValidation sqref="K4:K500" showDropDown="0" showInputMessage="0" showErrorMessage="0" allowBlank="1" type="list">
      <formula1>"Primario,Revisión,Otro"</formula1>
    </dataValidation>
    <dataValidation sqref="L4:L500" showDropDown="0" showInputMessage="0" showErrorMessage="0" allowBlank="1" type="list">
      <formula1>"Alto,Medio,Bajo"</formula1>
    </dataValidation>
    <dataValidation sqref="N4:N500" showDropDown="0" showInputMessage="0" showErrorMessage="0" allowBlank="1" type="list">
      <formula1>"Sí,No"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15"/>
  <sheetViews>
    <sheetView workbookViewId="0">
      <selection activeCell="K3" sqref="K3"/>
    </sheetView>
  </sheetViews>
  <sheetFormatPr baseColWidth="10" defaultColWidth="8.88671875" defaultRowHeight="14.4"/>
  <cols>
    <col width="12" customWidth="1" style="34" min="1" max="1"/>
    <col width="16" customWidth="1" style="34" min="2" max="2"/>
    <col width="55" customWidth="1" style="34" min="3" max="3"/>
    <col width="12" customWidth="1" style="34" min="4" max="13"/>
    <col width="13" customWidth="1" style="34" min="5" max="5"/>
    <col width="13" customWidth="1" style="34" min="6" max="6"/>
    <col width="13" customWidth="1" style="34" min="7" max="7"/>
    <col width="13" customWidth="1" style="34" min="8" max="8"/>
    <col width="13" customWidth="1" style="34" min="9" max="9"/>
    <col width="13" customWidth="1" style="34" min="10" max="10"/>
    <col width="13" customWidth="1" style="34" min="11" max="11"/>
    <col width="13" customWidth="1" style="34" min="12" max="12"/>
    <col width="13" customWidth="1" style="34" min="13" max="13"/>
    <col width="13" customWidth="1" style="34" min="14" max="14"/>
    <col width="16" customWidth="1" style="34" min="15" max="15"/>
    <col width="55" customWidth="1" style="34" min="16" max="16"/>
  </cols>
  <sheetData>
    <row r="1" ht="17.55" customHeight="1" s="34">
      <c r="A1" s="49" t="inlineStr">
        <is>
          <t>Calidad_articulos</t>
        </is>
      </c>
    </row>
    <row r="2" ht="28.8" customHeight="1" s="34">
      <c r="A2" s="33" t="inlineStr">
        <is>
          <t>Evaluación de calidad de lo que pasó el tamizaje. Q1-Q10 se puntúan 0/1/2; el puntaje total (0-20) y el nivel de calidad se CALCULAN SOLOS.</t>
        </is>
      </c>
    </row>
    <row r="3">
      <c r="A3" s="50" t="inlineStr">
        <is>
          <t>ID</t>
        </is>
      </c>
      <c r="B3" s="50" t="inlineStr">
        <is>
          <t>Base de datos</t>
        </is>
      </c>
      <c r="C3" s="50" t="inlineStr">
        <is>
          <t>Título completo</t>
        </is>
      </c>
      <c r="D3" s="50" t="inlineStr">
        <is>
          <t>Q1</t>
        </is>
      </c>
      <c r="E3" s="50" t="inlineStr">
        <is>
          <t>Q2</t>
        </is>
      </c>
      <c r="F3" s="50" t="inlineStr">
        <is>
          <t>Q3</t>
        </is>
      </c>
      <c r="G3" s="50" t="inlineStr">
        <is>
          <t>Q4</t>
        </is>
      </c>
      <c r="H3" s="50" t="inlineStr">
        <is>
          <t>Q5</t>
        </is>
      </c>
      <c r="I3" s="50" t="inlineStr">
        <is>
          <t>Q6</t>
        </is>
      </c>
      <c r="J3" s="50" t="inlineStr">
        <is>
          <t>Q7</t>
        </is>
      </c>
      <c r="K3" s="50" t="inlineStr">
        <is>
          <t>Q8</t>
        </is>
      </c>
      <c r="L3" s="50" t="inlineStr">
        <is>
          <t>Q9</t>
        </is>
      </c>
      <c r="M3" s="50" t="inlineStr">
        <is>
          <t>Q10</t>
        </is>
      </c>
      <c r="N3" s="50" t="inlineStr">
        <is>
          <t>Puntaje total</t>
        </is>
      </c>
      <c r="O3" s="50" t="inlineStr">
        <is>
          <t>Nivel de calidad</t>
        </is>
      </c>
      <c r="P3" s="50" t="inlineStr">
        <is>
          <t>Observaciones de calidad</t>
        </is>
      </c>
    </row>
    <row r="4" ht="33.6" customHeight="1" s="34">
      <c r="A4" s="51" t="inlineStr">
        <is>
          <t>H0001</t>
        </is>
      </c>
      <c r="B4" s="51" t="inlineStr">
        <is>
          <t>IEEE Xplore</t>
        </is>
      </c>
      <c r="C4" s="51" t="inlineStr">
        <is>
          <t>Unified Approach for Avocado Leaf Disease Classification: CNN-SVM Fusion</t>
        </is>
      </c>
      <c r="D4" s="51" t="n">
        <v>2</v>
      </c>
      <c r="E4" s="51" t="n">
        <v>2</v>
      </c>
      <c r="F4" s="51" t="n">
        <v>2</v>
      </c>
      <c r="G4" s="51" t="n">
        <v>2</v>
      </c>
      <c r="H4" s="51" t="n">
        <v>2</v>
      </c>
      <c r="I4" s="51" t="n">
        <v>1</v>
      </c>
      <c r="J4" s="51" t="n">
        <v>2</v>
      </c>
      <c r="K4" s="51" t="n">
        <v>1</v>
      </c>
      <c r="L4" s="51" t="n">
        <v>2</v>
      </c>
      <c r="M4" s="51" t="n">
        <v>2</v>
      </c>
      <c r="N4" s="51">
        <f>IF(COUNT(D4:M4)=0,"",SUM(D4:M4))</f>
        <v/>
      </c>
      <c r="O4" s="51">
        <f>IF(N4="","",IF(N4&gt;=16,"Alta calidad",IF(N4&gt;=11,"Media calidad","Baja calidad")))</f>
        <v/>
      </c>
      <c r="P4" s="51" t="inlineStr">
        <is>
          <t>IA aplicada a hojas de aguacate</t>
        </is>
      </c>
    </row>
    <row r="5" ht="33.6" customHeight="1" s="34">
      <c r="A5" s="51" t="inlineStr">
        <is>
          <t>H0002</t>
        </is>
      </c>
      <c r="B5" s="51" t="inlineStr">
        <is>
          <t>IEEE Xplore</t>
        </is>
      </c>
      <c r="C5" s="51" t="inlineStr">
        <is>
          <t>Plant Leaf Disease Detection, Classification, and Diagnosis Using Computer Vision and Artificial Intelligence: A Review</t>
        </is>
      </c>
      <c r="D5" s="51" t="n">
        <v>2</v>
      </c>
      <c r="E5" s="51" t="n">
        <v>1</v>
      </c>
      <c r="F5" s="51" t="n">
        <v>2</v>
      </c>
      <c r="G5" s="51" t="n">
        <v>1</v>
      </c>
      <c r="H5" s="51" t="n">
        <v>2</v>
      </c>
      <c r="I5" s="51" t="n">
        <v>2</v>
      </c>
      <c r="J5" s="51" t="n">
        <v>2</v>
      </c>
      <c r="K5" s="51" t="n">
        <v>1</v>
      </c>
      <c r="L5" s="51" t="n">
        <v>2</v>
      </c>
      <c r="M5" s="51" t="n">
        <v>2</v>
      </c>
      <c r="N5" s="51">
        <f>IF(COUNT(D5:M5)=0,"",SUM(D5:M5))</f>
        <v/>
      </c>
      <c r="O5" s="51">
        <f>IF(N5="","",IF(N5&gt;=16,"Alta calidad",IF(N5&gt;=11,"Media calidad","Baja calidad")))</f>
        <v/>
      </c>
      <c r="P5" s="51" t="inlineStr">
        <is>
          <t>Estado del arte IA foliar</t>
        </is>
      </c>
    </row>
    <row r="6" ht="33.6" customHeight="1" s="34">
      <c r="A6" s="51" t="inlineStr">
        <is>
          <t>H0003</t>
        </is>
      </c>
      <c r="B6" s="51" t="inlineStr">
        <is>
          <t>IEEE Xplore</t>
        </is>
      </c>
      <c r="C6" s="51" t="inlineStr">
        <is>
          <t>Real-Time Detection and Identification of Plant Leaf Diseases using YOLOv4-tiny</t>
        </is>
      </c>
      <c r="D6" s="51" t="n">
        <v>2</v>
      </c>
      <c r="E6" s="51" t="n">
        <v>1</v>
      </c>
      <c r="F6" s="51" t="n">
        <v>2</v>
      </c>
      <c r="G6" s="51" t="n">
        <v>1</v>
      </c>
      <c r="H6" s="51" t="n">
        <v>2</v>
      </c>
      <c r="I6" s="51" t="n">
        <v>1</v>
      </c>
      <c r="J6" s="51" t="n">
        <v>2</v>
      </c>
      <c r="K6" s="51" t="n">
        <v>1</v>
      </c>
      <c r="L6" s="51" t="n">
        <v>2</v>
      </c>
      <c r="M6" s="51" t="n">
        <v>2</v>
      </c>
      <c r="N6" s="51">
        <f>IF(COUNT(D6:M6)=0,"",SUM(D6:M6))</f>
        <v/>
      </c>
      <c r="O6" s="51">
        <f>IF(N6="","",IF(N6&gt;=16,"Alta calidad",IF(N6&gt;=11,"Media calidad","Baja calidad")))</f>
        <v/>
      </c>
      <c r="P6" s="51" t="inlineStr">
        <is>
          <t>YOLO para enfermedades foliares</t>
        </is>
      </c>
    </row>
    <row r="7" ht="33.6" customHeight="1" s="34">
      <c r="A7" s="51" t="inlineStr">
        <is>
          <t>H0004</t>
        </is>
      </c>
      <c r="B7" s="51" t="inlineStr">
        <is>
          <t>Scientific Reports</t>
        </is>
      </c>
      <c r="C7" s="51" t="inlineStr">
        <is>
          <t>Spectrally optimised YOLOv10s-SeqOpt framework for real-time UAV-based early detection of avocado foliar diseases in Indian orchards</t>
        </is>
      </c>
      <c r="D7" s="51" t="n">
        <v>2</v>
      </c>
      <c r="E7" s="51" t="n">
        <v>2</v>
      </c>
      <c r="F7" s="51" t="n">
        <v>2</v>
      </c>
      <c r="G7" s="51" t="n">
        <v>2</v>
      </c>
      <c r="H7" s="51" t="n">
        <v>2</v>
      </c>
      <c r="I7" s="51" t="n">
        <v>2</v>
      </c>
      <c r="J7" s="51" t="n">
        <v>2</v>
      </c>
      <c r="K7" s="51" t="n">
        <v>2</v>
      </c>
      <c r="L7" s="51" t="n">
        <v>2</v>
      </c>
      <c r="M7" s="51" t="n">
        <v>2</v>
      </c>
      <c r="N7" s="51">
        <f>IF(COUNT(D7:M7)=0,"",SUM(D7:M7))</f>
        <v/>
      </c>
      <c r="O7" s="51">
        <f>IF(N7="","",IF(N7&gt;=16,"Alta calidad",IF(N7&gt;=11,"Media calidad","Baja calidad")))</f>
        <v/>
      </c>
      <c r="P7" s="51" t="inlineStr">
        <is>
          <t>UAV e IA en aguacate</t>
        </is>
      </c>
    </row>
    <row r="8" ht="33.6" customHeight="1" s="34">
      <c r="A8" s="51" t="inlineStr">
        <is>
          <t>H0005</t>
        </is>
      </c>
      <c r="B8" s="51" t="inlineStr">
        <is>
          <t>AgriEngineering</t>
        </is>
      </c>
      <c r="C8" s="51" t="inlineStr">
        <is>
          <t>Spatial Mapping of Avocado Anthracnose Severity Using UAV-Derived Vegetation Indices in Amazonas, Peru</t>
        </is>
      </c>
      <c r="D8" s="51" t="n">
        <v>2</v>
      </c>
      <c r="E8" s="51" t="n">
        <v>2</v>
      </c>
      <c r="F8" s="51" t="n">
        <v>2</v>
      </c>
      <c r="G8" s="51" t="n">
        <v>2</v>
      </c>
      <c r="H8" s="51" t="n">
        <v>2</v>
      </c>
      <c r="I8" s="51" t="n">
        <v>2</v>
      </c>
      <c r="J8" s="51" t="n">
        <v>2</v>
      </c>
      <c r="K8" s="51" t="n">
        <v>2</v>
      </c>
      <c r="L8" s="51" t="n">
        <v>2</v>
      </c>
      <c r="M8" s="51" t="n">
        <v>2</v>
      </c>
      <c r="N8" s="51">
        <f>IF(COUNT(D8:M8)=0,"",SUM(D8:M8))</f>
        <v/>
      </c>
      <c r="O8" s="51">
        <f>IF(N8="","",IF(N8&gt;=16,"Alta calidad",IF(N8&gt;=11,"Media calidad","Baja calidad")))</f>
        <v/>
      </c>
      <c r="P8" s="51" t="inlineStr">
        <is>
          <t>Antracnosis y UAV</t>
        </is>
      </c>
    </row>
    <row r="9" ht="33.6" customHeight="1" s="34">
      <c r="A9" s="51" t="inlineStr">
        <is>
          <t>H0006</t>
        </is>
      </c>
      <c r="B9" s="51" t="inlineStr">
        <is>
          <t>International Journal of Plant Biology</t>
        </is>
      </c>
      <c r="C9" s="51" t="inlineStr">
        <is>
          <t>Colletotrichum fructicola Causes Necrotic Leaf Lesions in Avocado (Persea americana) in Amazonas, Peru: First Record and In Vitro Control Using Piper Essential Oils</t>
        </is>
      </c>
      <c r="D9" s="51" t="n">
        <v>2</v>
      </c>
      <c r="E9" s="51" t="n">
        <v>2</v>
      </c>
      <c r="F9" s="51" t="n">
        <v>2</v>
      </c>
      <c r="G9" s="51" t="n">
        <v>2</v>
      </c>
      <c r="H9" s="51" t="n">
        <v>2</v>
      </c>
      <c r="I9" s="51" t="n">
        <v>2</v>
      </c>
      <c r="J9" s="51" t="n">
        <v>1</v>
      </c>
      <c r="K9" s="51" t="n">
        <v>2</v>
      </c>
      <c r="L9" s="51" t="n">
        <v>2</v>
      </c>
      <c r="M9" s="51" t="n">
        <v>2</v>
      </c>
      <c r="N9" s="51">
        <f>IF(COUNT(D9:M9)=0,"",SUM(D9:M9))</f>
        <v/>
      </c>
      <c r="O9" s="51">
        <f>IF(N9="","",IF(N9&gt;=16,"Alta calidad",IF(N9&gt;=11,"Media calidad","Baja calidad")))</f>
        <v/>
      </c>
      <c r="P9" s="51" t="inlineStr">
        <is>
          <t>Lesiones foliares necroticas</t>
        </is>
      </c>
    </row>
    <row r="10" ht="33.6" customHeight="1" s="34">
      <c r="A10" s="51" t="inlineStr">
        <is>
          <t>H0007</t>
        </is>
      </c>
      <c r="B10" s="51" t="inlineStr">
        <is>
          <t>Revista Colombiana de Ciencias Hortícolas</t>
        </is>
      </c>
      <c r="C10" s="51" t="inlineStr">
        <is>
          <t>Validation of black spot management strategies in avocado crops in northern Tolima (Colombia)</t>
        </is>
      </c>
      <c r="D10" s="51" t="n">
        <v>2</v>
      </c>
      <c r="E10" s="51" t="n">
        <v>2</v>
      </c>
      <c r="F10" s="51" t="n">
        <v>2</v>
      </c>
      <c r="G10" s="51" t="n">
        <v>2</v>
      </c>
      <c r="H10" s="51" t="n">
        <v>2</v>
      </c>
      <c r="I10" s="51" t="n">
        <v>2</v>
      </c>
      <c r="J10" s="51" t="n">
        <v>1</v>
      </c>
      <c r="K10" s="51" t="n">
        <v>2</v>
      </c>
      <c r="L10" s="51" t="n">
        <v>2</v>
      </c>
      <c r="M10" s="51" t="n">
        <v>2</v>
      </c>
      <c r="N10" s="51">
        <f>IF(COUNT(D10:M10)=0,"",SUM(D10:M10))</f>
        <v/>
      </c>
      <c r="O10" s="51">
        <f>IF(N10="","",IF(N10&gt;=16,"Alta calidad",IF(N10&gt;=11,"Media calidad","Baja calidad")))</f>
        <v/>
      </c>
      <c r="P10" s="51" t="inlineStr">
        <is>
          <t>Cercospora y mancha negra</t>
        </is>
      </c>
    </row>
    <row r="11" ht="33.6" customHeight="1" s="34">
      <c r="A11" s="51" t="inlineStr">
        <is>
          <t>H0008</t>
        </is>
      </c>
      <c r="B11" s="51" t="inlineStr">
        <is>
          <t>Journal of Sol-Gel Science and Technology</t>
        </is>
      </c>
      <c r="C11" s="51" t="inlineStr">
        <is>
          <t>Silica-based nanomaterials for the control of Trioza anceps: Laboratory bioassays and preliminary field observations</t>
        </is>
      </c>
      <c r="D11" s="51" t="n">
        <v>2</v>
      </c>
      <c r="E11" s="51" t="n">
        <v>2</v>
      </c>
      <c r="F11" s="51" t="n">
        <v>2</v>
      </c>
      <c r="G11" s="51" t="n">
        <v>2</v>
      </c>
      <c r="H11" s="51" t="n">
        <v>2</v>
      </c>
      <c r="I11" s="51" t="n">
        <v>2</v>
      </c>
      <c r="J11" s="51" t="n">
        <v>1</v>
      </c>
      <c r="K11" s="51" t="n">
        <v>2</v>
      </c>
      <c r="L11" s="51" t="n">
        <v>2</v>
      </c>
      <c r="M11" s="51" t="n">
        <v>2</v>
      </c>
      <c r="N11" s="51">
        <f>IF(COUNT(D11:M11)=0,"",SUM(D11:M11))</f>
        <v/>
      </c>
      <c r="O11" s="51">
        <f>IF(N11="","",IF(N11&gt;=16,"Alta calidad",IF(N11&gt;=11,"Media calidad","Baja calidad")))</f>
        <v/>
      </c>
      <c r="P11" s="51" t="inlineStr">
        <is>
          <t>Agallas foliares</t>
        </is>
      </c>
    </row>
    <row r="12" ht="33.6" customHeight="1" s="34">
      <c r="A12" s="51" t="inlineStr">
        <is>
          <t>H0009</t>
        </is>
      </c>
      <c r="B12" s="51" t="inlineStr">
        <is>
          <t>Journal of Economic Entomology</t>
        </is>
      </c>
      <c r="C12" s="51" t="inlineStr">
        <is>
          <t>Biocontrol Potential of Neoseiulus californicus Against Oligonychus punicae in Avocado</t>
        </is>
      </c>
      <c r="D12" s="51" t="n">
        <v>2</v>
      </c>
      <c r="E12" s="51" t="n">
        <v>2</v>
      </c>
      <c r="F12" s="51" t="n">
        <v>1</v>
      </c>
      <c r="G12" s="51" t="n">
        <v>2</v>
      </c>
      <c r="H12" s="51" t="n">
        <v>2</v>
      </c>
      <c r="I12" s="51" t="n">
        <v>2</v>
      </c>
      <c r="J12" s="51" t="n">
        <v>1</v>
      </c>
      <c r="K12" s="51" t="n">
        <v>2</v>
      </c>
      <c r="L12" s="51" t="n">
        <v>2</v>
      </c>
      <c r="M12" s="51" t="n">
        <v>2</v>
      </c>
      <c r="N12" s="51">
        <f>IF(COUNT(D12:M12)=0,"",SUM(D12:M12))</f>
        <v/>
      </c>
      <c r="O12" s="51">
        <f>IF(N12="","",IF(N12&gt;=16,"Alta calidad",IF(N12&gt;=11,"Media calidad","Baja calidad")))</f>
        <v/>
      </c>
      <c r="P12" s="51" t="inlineStr">
        <is>
          <t>Araña roja y acaros</t>
        </is>
      </c>
    </row>
    <row r="13" ht="33.6" customHeight="1" s="34">
      <c r="A13" s="51" t="inlineStr">
        <is>
          <t>H0010</t>
        </is>
      </c>
      <c r="B13" s="51" t="inlineStr">
        <is>
          <t>Plant Health Progress</t>
        </is>
      </c>
      <c r="C13" s="51" t="inlineStr">
        <is>
          <t>Avocado Scab Caused by Elsinoe perseae: A Diagnostic Guide</t>
        </is>
      </c>
      <c r="D13" s="51" t="n">
        <v>2</v>
      </c>
      <c r="E13" s="51" t="n">
        <v>2</v>
      </c>
      <c r="F13" s="51" t="n">
        <v>2</v>
      </c>
      <c r="G13" s="51" t="n">
        <v>2</v>
      </c>
      <c r="H13" s="51" t="n">
        <v>2</v>
      </c>
      <c r="I13" s="51" t="n">
        <v>1</v>
      </c>
      <c r="J13" s="51" t="n">
        <v>1</v>
      </c>
      <c r="K13" s="51" t="n">
        <v>2</v>
      </c>
      <c r="L13" s="51" t="n">
        <v>2</v>
      </c>
      <c r="M13" s="51" t="n">
        <v>2</v>
      </c>
      <c r="N13" s="51">
        <f>IF(COUNT(D13:M13)=0,"",SUM(D13:M13))</f>
        <v/>
      </c>
      <c r="O13" s="51">
        <f>IF(N13="","",IF(N13&gt;=16,"Alta calidad",IF(N13&gt;=11,"Media calidad","Baja calidad")))</f>
        <v/>
      </c>
      <c r="P13" s="51" t="inlineStr">
        <is>
          <t>Roña</t>
        </is>
      </c>
    </row>
    <row r="14" ht="33.6" customHeight="1" s="34">
      <c r="A14" s="51" t="inlineStr">
        <is>
          <t>H0011</t>
        </is>
      </c>
      <c r="B14" s="51" t="inlineStr">
        <is>
          <t>Journal</t>
        </is>
      </c>
      <c r="C14" s="51" t="inlineStr">
        <is>
          <t>Real-time hass avocado ripeness detection using close-range UAV imagery and YOLO-based deep learning</t>
        </is>
      </c>
      <c r="D14" s="51" t="n">
        <v>2</v>
      </c>
      <c r="E14" s="51" t="n">
        <v>1</v>
      </c>
      <c r="F14" s="51" t="n">
        <v>1</v>
      </c>
      <c r="G14" s="51" t="n">
        <v>2</v>
      </c>
      <c r="H14" s="51" t="n">
        <v>2</v>
      </c>
      <c r="I14" s="51" t="n">
        <v>2</v>
      </c>
      <c r="J14" s="51" t="n">
        <v>2</v>
      </c>
      <c r="K14" s="51" t="n">
        <v>2</v>
      </c>
      <c r="L14" s="51" t="n">
        <v>2</v>
      </c>
      <c r="M14" s="51" t="n">
        <v>2</v>
      </c>
      <c r="N14" s="51">
        <f>IF(COUNT(D14:M14)=0,"",SUM(D14:M14))</f>
        <v/>
      </c>
      <c r="O14" s="51">
        <f>IF(N14="","",IF(N14&gt;=16,"Alta calidad",IF(N14&gt;=11,"Media calidad","Baja calidad")))</f>
        <v/>
      </c>
      <c r="P14" s="51" t="inlineStr">
        <is>
          <t>YOLO y UAV en aguacate</t>
        </is>
      </c>
    </row>
    <row r="15" ht="33.6" customHeight="1" s="34">
      <c r="A15" s="51" t="inlineStr">
        <is>
          <t>H0012</t>
        </is>
      </c>
      <c r="B15" s="51" t="inlineStr">
        <is>
          <t>Scientific Reports</t>
        </is>
      </c>
      <c r="C15" s="51" t="inlineStr">
        <is>
          <t>Simultaneously prediction of multiple wheat leaf phenotypes using hyperspectral imaging with multi-task machine and deep learning</t>
        </is>
      </c>
      <c r="D15" s="51" t="n">
        <v>2</v>
      </c>
      <c r="E15" s="51" t="n">
        <v>1</v>
      </c>
      <c r="F15" s="51" t="n">
        <v>1</v>
      </c>
      <c r="G15" s="51" t="n">
        <v>1</v>
      </c>
      <c r="H15" s="51" t="n">
        <v>2</v>
      </c>
      <c r="I15" s="51" t="n">
        <v>2</v>
      </c>
      <c r="J15" s="51" t="n">
        <v>2</v>
      </c>
      <c r="K15" s="51" t="n">
        <v>1</v>
      </c>
      <c r="L15" s="51" t="n">
        <v>2</v>
      </c>
      <c r="M15" s="51" t="n">
        <v>2</v>
      </c>
      <c r="N15" s="51">
        <f>IF(COUNT(D15:M15)=0,"",SUM(D15:M15))</f>
        <v/>
      </c>
      <c r="O15" s="51">
        <f>IF(N15="","",IF(N15&gt;=16,"Alta calidad",IF(N15&gt;=11,"Media calidad","Baja calidad")))</f>
        <v/>
      </c>
      <c r="P15" s="51" t="inlineStr">
        <is>
          <t>Cultivos comparativos</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autoFilter ref="A3:P15"/>
  <mergeCells count="2">
    <mergeCell ref="A1:P1"/>
    <mergeCell ref="A2:P2"/>
  </mergeCells>
  <conditionalFormatting sqref="N4:N201">
    <cfRule type="cellIs" priority="1" operator="greaterThanOrEqual" dxfId="2">
      <formula>16</formula>
    </cfRule>
    <cfRule type="cellIs" priority="2" operator="between" dxfId="1">
      <formula>10</formula>
      <formula>15</formula>
    </cfRule>
    <cfRule type="cellIs" priority="3" operator="lessThan" dxfId="0">
      <formula>10</formula>
    </cfRule>
  </conditionalFormatting>
  <dataValidations count="1">
    <dataValidation sqref="D4:M303" showDropDown="0" showInputMessage="0" showErrorMessage="0" allowBlank="1" type="list">
      <formula1>"0,1,2"</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5"/>
  <sheetViews>
    <sheetView workbookViewId="0">
      <selection activeCell="E38" sqref="E38"/>
    </sheetView>
  </sheetViews>
  <sheetFormatPr baseColWidth="10" defaultColWidth="8.88671875" defaultRowHeight="14.4"/>
  <cols>
    <col width="12" customWidth="1" style="34" min="1" max="1"/>
    <col width="16" customWidth="1" style="34" min="2" max="2"/>
    <col width="55" customWidth="1" style="34" min="3" max="3"/>
    <col width="12" customWidth="1" style="34" min="4" max="4"/>
    <col width="24" customWidth="1" style="34" min="5" max="6"/>
    <col width="13" customWidth="1" style="34" min="6" max="6"/>
    <col width="15" customWidth="1" style="34" min="7" max="7"/>
    <col width="55" customWidth="1" style="34" min="8" max="12"/>
    <col width="13" customWidth="1" style="34" min="9" max="9"/>
    <col width="13" customWidth="1" style="34" min="10" max="10"/>
    <col width="13" customWidth="1" style="34" min="11" max="11"/>
    <col width="13" customWidth="1" style="34" min="12" max="12"/>
    <col width="55" customWidth="1" style="34" min="13" max="13"/>
    <col width="55" customWidth="1" style="34" min="14" max="14"/>
    <col width="35" customWidth="1" style="34" min="15" max="15"/>
    <col width="16" customWidth="1" style="34" min="16" max="16"/>
    <col width="34" customWidth="1" style="34" min="17" max="17"/>
    <col width="55" customWidth="1" style="34" min="18" max="18"/>
  </cols>
  <sheetData>
    <row r="1" ht="17.55" customHeight="1" s="34">
      <c r="A1" s="49" t="inlineStr">
        <is>
          <t>Articulos_finales</t>
        </is>
      </c>
    </row>
    <row r="2" ht="28.8" customHeight="1" s="34">
      <c r="A2" s="33" t="inlineStr">
        <is>
          <t>Selección final razonada: analiza el aporte de cada artículo y decide Incluir o Reserva, con su justificación.</t>
        </is>
      </c>
    </row>
    <row r="3">
      <c r="A3" s="50" t="inlineStr">
        <is>
          <t>ID</t>
        </is>
      </c>
      <c r="B3" s="50" t="inlineStr">
        <is>
          <t>Base de datos</t>
        </is>
      </c>
      <c r="C3" s="50" t="inlineStr">
        <is>
          <t>Título completo</t>
        </is>
      </c>
      <c r="D3" s="50" t="inlineStr">
        <is>
          <t>Año</t>
        </is>
      </c>
      <c r="E3" s="50" t="inlineStr">
        <is>
          <t>Autores</t>
        </is>
      </c>
      <c r="F3" s="50" t="inlineStr">
        <is>
          <t>DOI</t>
        </is>
      </c>
      <c r="G3" s="50" t="inlineStr">
        <is>
          <t>Tipo de estudio</t>
        </is>
      </c>
      <c r="H3" s="50" t="inlineStr">
        <is>
          <t>Aporte principal</t>
        </is>
      </c>
      <c r="I3" s="50" t="inlineStr">
        <is>
          <t>Relación con Objetivo 1</t>
        </is>
      </c>
      <c r="J3" s="50" t="inlineStr">
        <is>
          <t>Evidencia de IA</t>
        </is>
      </c>
      <c r="K3" s="50" t="inlineStr">
        <is>
          <t>Evidencia de HCI/UX</t>
        </is>
      </c>
      <c r="L3" s="50" t="inlineStr">
        <is>
          <t>Evidencia de mobile app</t>
        </is>
      </c>
      <c r="M3" s="50" t="inlineStr">
        <is>
          <t>Evidencia de design/framework/methodology/approach</t>
        </is>
      </c>
      <c r="N3" s="50" t="inlineStr">
        <is>
          <t>Evidencia de agricultura</t>
        </is>
      </c>
      <c r="O3" s="50" t="inlineStr">
        <is>
          <t>Nivel de alineación con el objetivo</t>
        </is>
      </c>
      <c r="P3" s="50" t="inlineStr">
        <is>
          <t>Nivel de calidad</t>
        </is>
      </c>
      <c r="Q3" s="50" t="inlineStr">
        <is>
          <t>Decisión final (Incluir / Reserva)</t>
        </is>
      </c>
      <c r="R3" s="50" t="inlineStr">
        <is>
          <t>Justificación final</t>
        </is>
      </c>
    </row>
    <row r="4" ht="33.6" customHeight="1" s="34">
      <c r="A4" s="51" t="inlineStr">
        <is>
          <t>H0001</t>
        </is>
      </c>
      <c r="B4" s="51" t="inlineStr">
        <is>
          <t>IEEE Xplore</t>
        </is>
      </c>
      <c r="C4" s="51" t="inlineStr">
        <is>
          <t>Unified Approach for Avocado Leaf Disease Classification: CNN-SVM Fusion</t>
        </is>
      </c>
      <c r="D4" s="51" t="n">
        <v>2024</v>
      </c>
      <c r="E4" s="51" t="inlineStr">
        <is>
          <t>Mir; Banerjee; Chauhan; Pokhariya; Kumar</t>
        </is>
      </c>
      <c r="F4" s="51" t="inlineStr">
        <is>
          <t>10.1109/I2CT61223.2024.10544074</t>
        </is>
      </c>
      <c r="G4" s="51" t="inlineStr">
        <is>
          <t>Conference paper</t>
        </is>
      </c>
      <c r="H4" s="51" t="inlineStr">
        <is>
          <t>Aporta a la línea: IA aplicada a hojas de aguacate.</t>
        </is>
      </c>
      <c r="I4" s="51" t="inlineStr">
        <is>
          <t>Relacionado con el Objetivo 1 porque aporta evidencia fitosanitaria, síntomas foliares o metodología de detección automatizada para hojas de aguacate.</t>
        </is>
      </c>
      <c r="J4" s="51" t="inlineStr">
        <is>
          <t>Sí: CNN-SVM</t>
        </is>
      </c>
      <c r="K4" s="51" t="inlineStr">
        <is>
          <t>Parcial: útil para diseñar criterios de interacción y validación de app</t>
        </is>
      </c>
      <c r="L4" s="51" t="inlineStr">
        <is>
          <t>No explícita</t>
        </is>
      </c>
      <c r="M4" s="51" t="inlineStr">
        <is>
          <t>Sí: método o enfoque documentado</t>
        </is>
      </c>
      <c r="N4" s="51" t="inlineStr">
        <is>
          <t>Sí: aguacate, enfermedad foliar</t>
        </is>
      </c>
      <c r="O4" s="51" t="inlineStr">
        <is>
          <t>Alta</t>
        </is>
      </c>
      <c r="P4" s="51" t="inlineStr">
        <is>
          <t>Alta calidad</t>
        </is>
      </c>
      <c r="Q4" s="51" t="inlineStr">
        <is>
          <t>Incluir</t>
        </is>
      </c>
      <c r="R4" s="51" t="inlineStr">
        <is>
          <t>Incluir en el marco teórico principal.</t>
        </is>
      </c>
    </row>
    <row r="5" ht="33.6" customHeight="1" s="34">
      <c r="A5" s="51" t="inlineStr">
        <is>
          <t>H0002</t>
        </is>
      </c>
      <c r="B5" s="51" t="inlineStr">
        <is>
          <t>IEEE Xplore</t>
        </is>
      </c>
      <c r="C5" s="51" t="inlineStr">
        <is>
          <t>Plant Leaf Disease Detection, Classification, and Diagnosis Using Computer Vision and Artificial Intelligence: A Review</t>
        </is>
      </c>
      <c r="D5" s="51" t="n">
        <v>2024</v>
      </c>
      <c r="E5" s="51" t="inlineStr">
        <is>
          <t>IEEE Access review authors</t>
        </is>
      </c>
      <c r="F5" s="51" t="inlineStr">
        <is>
          <t>10.1109/ACCESS.2024.3373001</t>
        </is>
      </c>
      <c r="G5" s="51" t="inlineStr">
        <is>
          <t>Review</t>
        </is>
      </c>
      <c r="H5" s="51" t="inlineStr">
        <is>
          <t>Aporta a la línea: Estado del arte IA foliar.</t>
        </is>
      </c>
      <c r="I5" s="51" t="inlineStr">
        <is>
          <t>Relacionado con el Objetivo 1 porque aporta evidencia fitosanitaria, síntomas foliares o metodología de detección automatizada para hojas de aguacate.</t>
        </is>
      </c>
      <c r="J5" s="51" t="inlineStr">
        <is>
          <t>Sí: IA, computer vision, deep learning</t>
        </is>
      </c>
      <c r="K5" s="51" t="inlineStr">
        <is>
          <t>Parcial: útil para diseñar criterios de interacción y validación de app</t>
        </is>
      </c>
      <c r="L5" s="51" t="inlineStr">
        <is>
          <t>No explícita</t>
        </is>
      </c>
      <c r="M5" s="51" t="inlineStr">
        <is>
          <t>Sí: método o enfoque documentado</t>
        </is>
      </c>
      <c r="N5" s="51" t="inlineStr">
        <is>
          <t>Sí: enfermedades foliares</t>
        </is>
      </c>
      <c r="O5" s="51" t="inlineStr">
        <is>
          <t>Media</t>
        </is>
      </c>
      <c r="P5" s="51" t="inlineStr">
        <is>
          <t>Alta calidad</t>
        </is>
      </c>
      <c r="Q5" s="51" t="inlineStr">
        <is>
          <t>Reserva</t>
        </is>
      </c>
      <c r="R5" s="51" t="inlineStr">
        <is>
          <t>Mantener como apoyo metodológico o diagnóstico diferencial.</t>
        </is>
      </c>
    </row>
    <row r="6" ht="33.6" customHeight="1" s="34">
      <c r="A6" s="51" t="inlineStr">
        <is>
          <t>H0003</t>
        </is>
      </c>
      <c r="B6" s="51" t="inlineStr">
        <is>
          <t>IEEE Xplore</t>
        </is>
      </c>
      <c r="C6" s="51" t="inlineStr">
        <is>
          <t>Real-Time Detection and Identification of Plant Leaf Diseases using YOLOv4-tiny</t>
        </is>
      </c>
      <c r="D6" s="51" t="n">
        <v>2021</v>
      </c>
      <c r="E6" s="51" t="inlineStr">
        <is>
          <t>ICCCNT authors</t>
        </is>
      </c>
      <c r="F6" s="51" t="inlineStr">
        <is>
          <t>10.1109/ICCCNT51525.2021.9579783</t>
        </is>
      </c>
      <c r="G6" s="51" t="inlineStr">
        <is>
          <t>Conference paper</t>
        </is>
      </c>
      <c r="H6" s="51" t="inlineStr">
        <is>
          <t>Aporta a la línea: YOLO para enfermedades foliares.</t>
        </is>
      </c>
      <c r="I6" s="51" t="inlineStr">
        <is>
          <t>Relacionado con el Objetivo 1 porque aporta evidencia fitosanitaria, síntomas foliares o metodología de detección automatizada para hojas de aguacate.</t>
        </is>
      </c>
      <c r="J6" s="51" t="inlineStr">
        <is>
          <t>Sí: YOLOv4-tiny</t>
        </is>
      </c>
      <c r="K6" s="51" t="inlineStr">
        <is>
          <t>Parcial: útil para diseñar criterios de interacción y validación de app</t>
        </is>
      </c>
      <c r="L6" s="51" t="inlineStr">
        <is>
          <t>No explícita</t>
        </is>
      </c>
      <c r="M6" s="51" t="inlineStr">
        <is>
          <t>Sí: método o enfoque documentado</t>
        </is>
      </c>
      <c r="N6" s="51" t="inlineStr">
        <is>
          <t>Sí: enfermedad foliar vegetal</t>
        </is>
      </c>
      <c r="O6" s="51" t="inlineStr">
        <is>
          <t>Media</t>
        </is>
      </c>
      <c r="P6" s="51" t="inlineStr">
        <is>
          <t>Alta calidad</t>
        </is>
      </c>
      <c r="Q6" s="51" t="inlineStr">
        <is>
          <t>Reserva</t>
        </is>
      </c>
      <c r="R6" s="51" t="inlineStr">
        <is>
          <t>Mantener como apoyo metodológico o diagnóstico diferencial.</t>
        </is>
      </c>
    </row>
    <row r="7" ht="33.6" customHeight="1" s="34">
      <c r="A7" s="51" t="inlineStr">
        <is>
          <t>H0004</t>
        </is>
      </c>
      <c r="B7" s="51" t="inlineStr">
        <is>
          <t>Scientific Reports</t>
        </is>
      </c>
      <c r="C7" s="51" t="inlineStr">
        <is>
          <t>Spectrally optimised YOLOv10s-SeqOpt framework for real-time UAV-based early detection of avocado foliar diseases in Indian orchards</t>
        </is>
      </c>
      <c r="D7" s="51" t="n">
        <v>2026</v>
      </c>
      <c r="E7" s="51" t="inlineStr">
        <is>
          <t>Karthik; Govindasamy; Muthusamy; Routray</t>
        </is>
      </c>
      <c r="F7" s="51" t="inlineStr">
        <is>
          <t>10.1038/s41598-026-50025-z</t>
        </is>
      </c>
      <c r="G7" s="51" t="inlineStr">
        <is>
          <t>Article</t>
        </is>
      </c>
      <c r="H7" s="51" t="inlineStr">
        <is>
          <t>Aporta a la línea: UAV e IA en aguacate.</t>
        </is>
      </c>
      <c r="I7" s="51" t="inlineStr">
        <is>
          <t>Relacionado con el Objetivo 1 porque aporta evidencia fitosanitaria, síntomas foliares o metodología de detección automatizada para hojas de aguacate.</t>
        </is>
      </c>
      <c r="J7" s="51" t="inlineStr">
        <is>
          <t>Sí: YOLOv10s, deep learning</t>
        </is>
      </c>
      <c r="K7" s="51" t="inlineStr">
        <is>
          <t>Parcial: útil para diseñar criterios de interacción y validación de app</t>
        </is>
      </c>
      <c r="L7" s="51" t="inlineStr">
        <is>
          <t>No explícita</t>
        </is>
      </c>
      <c r="M7" s="51" t="inlineStr">
        <is>
          <t>Sí: método o enfoque documentado</t>
        </is>
      </c>
      <c r="N7" s="51" t="inlineStr">
        <is>
          <t>Sí: aguacate, enfermedades foliares</t>
        </is>
      </c>
      <c r="O7" s="51" t="inlineStr">
        <is>
          <t>Alta</t>
        </is>
      </c>
      <c r="P7" s="51" t="inlineStr">
        <is>
          <t>Alta calidad</t>
        </is>
      </c>
      <c r="Q7" s="51" t="inlineStr">
        <is>
          <t>Incluir</t>
        </is>
      </c>
      <c r="R7" s="51" t="inlineStr">
        <is>
          <t>Incluir en el marco teórico principal.</t>
        </is>
      </c>
    </row>
    <row r="8" ht="33.6" customHeight="1" s="34">
      <c r="A8" s="51" t="inlineStr">
        <is>
          <t>H0005</t>
        </is>
      </c>
      <c r="B8" s="51" t="inlineStr">
        <is>
          <t>AgriEngineering</t>
        </is>
      </c>
      <c r="C8" s="51" t="inlineStr">
        <is>
          <t>Spatial Mapping of Avocado Anthracnose Severity Using UAV-Derived Vegetation Indices in Amazonas, Peru</t>
        </is>
      </c>
      <c r="D8" s="51" t="n">
        <v>2026</v>
      </c>
      <c r="E8" s="51" t="inlineStr">
        <is>
          <t>Guelac-Santillan et al.</t>
        </is>
      </c>
      <c r="F8" s="51" t="inlineStr"/>
      <c r="G8" s="51" t="inlineStr">
        <is>
          <t>Article</t>
        </is>
      </c>
      <c r="H8" s="51" t="inlineStr">
        <is>
          <t>Aporta a la línea: Antracnosis y UAV.</t>
        </is>
      </c>
      <c r="I8" s="51" t="inlineStr">
        <is>
          <t>Relacionado con el Objetivo 1 porque aporta evidencia fitosanitaria, síntomas foliares o metodología de detección automatizada para hojas de aguacate.</t>
        </is>
      </c>
      <c r="J8" s="51" t="inlineStr">
        <is>
          <t>Parcial: índices de vegetación y análisis espacial</t>
        </is>
      </c>
      <c r="K8" s="51" t="inlineStr">
        <is>
          <t>Parcial: útil para diseñar criterios de interacción y validación de app</t>
        </is>
      </c>
      <c r="L8" s="51" t="inlineStr">
        <is>
          <t>No</t>
        </is>
      </c>
      <c r="M8" s="51" t="inlineStr">
        <is>
          <t>Sí: método o enfoque documentado</t>
        </is>
      </c>
      <c r="N8" s="51" t="inlineStr">
        <is>
          <t>Sí: aguacate, antracnosis</t>
        </is>
      </c>
      <c r="O8" s="51" t="inlineStr">
        <is>
          <t>Alta</t>
        </is>
      </c>
      <c r="P8" s="51" t="inlineStr">
        <is>
          <t>Alta calidad</t>
        </is>
      </c>
      <c r="Q8" s="51" t="inlineStr">
        <is>
          <t>Incluir</t>
        </is>
      </c>
      <c r="R8" s="51" t="inlineStr">
        <is>
          <t>Incluir en el marco teórico principal.</t>
        </is>
      </c>
    </row>
    <row r="9" ht="33.6" customHeight="1" s="34">
      <c r="A9" s="51" t="inlineStr">
        <is>
          <t>H0006</t>
        </is>
      </c>
      <c r="B9" s="51" t="inlineStr">
        <is>
          <t>International Journal of Plant Biology</t>
        </is>
      </c>
      <c r="C9" s="51" t="inlineStr">
        <is>
          <t>Colletotrichum fructicola Causes Necrotic Leaf Lesions in Avocado (Persea americana) in Amazonas, Peru: First Record and In Vitro Control Using Piper Essential Oils</t>
        </is>
      </c>
      <c r="D9" s="51" t="n">
        <v>2026</v>
      </c>
      <c r="E9" s="51" t="inlineStr">
        <is>
          <t>Authors not extracted</t>
        </is>
      </c>
      <c r="F9" s="51" t="inlineStr"/>
      <c r="G9" s="51" t="inlineStr">
        <is>
          <t>Article</t>
        </is>
      </c>
      <c r="H9" s="51" t="inlineStr">
        <is>
          <t>Aporta a la línea: Lesiones foliares necroticas.</t>
        </is>
      </c>
      <c r="I9" s="51" t="inlineStr">
        <is>
          <t>Relacionado con el Objetivo 1 porque aporta evidencia fitosanitaria, síntomas foliares o metodología de detección automatizada para hojas de aguacate.</t>
        </is>
      </c>
      <c r="J9" s="51" t="inlineStr">
        <is>
          <t>No</t>
        </is>
      </c>
      <c r="K9" s="51" t="inlineStr">
        <is>
          <t>Parcial: útil para diseñar criterios de interacción y validación de app</t>
        </is>
      </c>
      <c r="L9" s="51" t="inlineStr">
        <is>
          <t>No</t>
        </is>
      </c>
      <c r="M9" s="51" t="inlineStr">
        <is>
          <t>Parcial: soporte fitosanitario</t>
        </is>
      </c>
      <c r="N9" s="51" t="inlineStr">
        <is>
          <t>Sí: aguacate, lesiones foliares</t>
        </is>
      </c>
      <c r="O9" s="51" t="inlineStr">
        <is>
          <t>Alta</t>
        </is>
      </c>
      <c r="P9" s="51" t="inlineStr">
        <is>
          <t>Alta calidad</t>
        </is>
      </c>
      <c r="Q9" s="51" t="inlineStr">
        <is>
          <t>Incluir</t>
        </is>
      </c>
      <c r="R9" s="51" t="inlineStr">
        <is>
          <t>Incluir en el marco teórico principal.</t>
        </is>
      </c>
    </row>
    <row r="10" ht="33.6" customHeight="1" s="34">
      <c r="A10" s="51" t="inlineStr">
        <is>
          <t>H0007</t>
        </is>
      </c>
      <c r="B10" s="51" t="inlineStr">
        <is>
          <t>Revista Colombiana de Ciencias Hortícolas</t>
        </is>
      </c>
      <c r="C10" s="51" t="inlineStr">
        <is>
          <t>Validation of black spot management strategies in avocado crops in northern Tolima (Colombia)</t>
        </is>
      </c>
      <c r="D10" s="51" t="n">
        <v>2020</v>
      </c>
      <c r="E10" s="51" t="inlineStr">
        <is>
          <t>Rodríguez-Polanco et al.</t>
        </is>
      </c>
      <c r="F10" s="51" t="inlineStr">
        <is>
          <t>10.17584/rcch.2020v14i2.10169</t>
        </is>
      </c>
      <c r="G10" s="51" t="inlineStr">
        <is>
          <t>Article</t>
        </is>
      </c>
      <c r="H10" s="51" t="inlineStr">
        <is>
          <t>Aporta a la línea: Cercospora y mancha negra.</t>
        </is>
      </c>
      <c r="I10" s="51" t="inlineStr">
        <is>
          <t>Relacionado con el Objetivo 1 porque aporta evidencia fitosanitaria, síntomas foliares o metodología de detección automatizada para hojas de aguacate.</t>
        </is>
      </c>
      <c r="J10" s="51" t="inlineStr">
        <is>
          <t>No</t>
        </is>
      </c>
      <c r="K10" s="51" t="inlineStr">
        <is>
          <t>Parcial: útil para diseñar criterios de interacción y validación de app</t>
        </is>
      </c>
      <c r="L10" s="51" t="inlineStr">
        <is>
          <t>No</t>
        </is>
      </c>
      <c r="M10" s="51" t="inlineStr">
        <is>
          <t>Parcial: soporte fitosanitario</t>
        </is>
      </c>
      <c r="N10" s="51" t="inlineStr">
        <is>
          <t>Sí: aguacate, mancha negra</t>
        </is>
      </c>
      <c r="O10" s="51" t="inlineStr">
        <is>
          <t>Alta</t>
        </is>
      </c>
      <c r="P10" s="51" t="inlineStr">
        <is>
          <t>Alta calidad</t>
        </is>
      </c>
      <c r="Q10" s="51" t="inlineStr">
        <is>
          <t>Incluir</t>
        </is>
      </c>
      <c r="R10" s="51" t="inlineStr">
        <is>
          <t>Incluir en el marco teórico principal.</t>
        </is>
      </c>
    </row>
    <row r="11" ht="33.6" customHeight="1" s="34">
      <c r="A11" s="51" t="inlineStr">
        <is>
          <t>H0008</t>
        </is>
      </c>
      <c r="B11" s="51" t="inlineStr">
        <is>
          <t>Journal of Sol-Gel Science and Technology</t>
        </is>
      </c>
      <c r="C11" s="51" t="inlineStr">
        <is>
          <t>Silica-based nanomaterials for the control of Trioza anceps: Laboratory bioassays and preliminary field observations</t>
        </is>
      </c>
      <c r="D11" s="51" t="n">
        <v>2026</v>
      </c>
      <c r="E11" s="51" t="inlineStr">
        <is>
          <t>Cinto-Alarcon et al.</t>
        </is>
      </c>
      <c r="F11" s="51" t="inlineStr">
        <is>
          <t>10.1007/s10971-026-07179-z</t>
        </is>
      </c>
      <c r="G11" s="51" t="inlineStr">
        <is>
          <t>Article</t>
        </is>
      </c>
      <c r="H11" s="51" t="inlineStr">
        <is>
          <t>Aporta a la línea: Agallas foliares.</t>
        </is>
      </c>
      <c r="I11" s="51" t="inlineStr">
        <is>
          <t>Relacionado con el Objetivo 1 porque aporta evidencia fitosanitaria, síntomas foliares o metodología de detección automatizada para hojas de aguacate.</t>
        </is>
      </c>
      <c r="J11" s="51" t="inlineStr">
        <is>
          <t>No</t>
        </is>
      </c>
      <c r="K11" s="51" t="inlineStr">
        <is>
          <t>Parcial: útil para diseñar criterios de interacción y validación de app</t>
        </is>
      </c>
      <c r="L11" s="51" t="inlineStr">
        <is>
          <t>No</t>
        </is>
      </c>
      <c r="M11" s="51" t="inlineStr">
        <is>
          <t>Parcial: soporte fitosanitario</t>
        </is>
      </c>
      <c r="N11" s="51" t="inlineStr">
        <is>
          <t>Sí: aguacate, Trioza anceps</t>
        </is>
      </c>
      <c r="O11" s="51" t="inlineStr">
        <is>
          <t>Media</t>
        </is>
      </c>
      <c r="P11" s="51" t="inlineStr">
        <is>
          <t>Alta calidad</t>
        </is>
      </c>
      <c r="Q11" s="51" t="inlineStr">
        <is>
          <t>Reserva</t>
        </is>
      </c>
      <c r="R11" s="51" t="inlineStr">
        <is>
          <t>Mantener como apoyo metodológico o diagnóstico diferencial.</t>
        </is>
      </c>
    </row>
    <row r="12" ht="33.6" customHeight="1" s="34">
      <c r="A12" s="51" t="inlineStr">
        <is>
          <t>H0009</t>
        </is>
      </c>
      <c r="B12" s="51" t="inlineStr">
        <is>
          <t>Journal of Economic Entomology</t>
        </is>
      </c>
      <c r="C12" s="51" t="inlineStr">
        <is>
          <t>Biocontrol Potential of Neoseiulus californicus Against Oligonychus punicae in Avocado</t>
        </is>
      </c>
      <c r="D12" s="51" t="n">
        <v>2021</v>
      </c>
      <c r="E12" s="51" t="inlineStr">
        <is>
          <t>Oliveira et al.</t>
        </is>
      </c>
      <c r="F12" s="51" t="inlineStr">
        <is>
          <t>10.1093/jee/toab029</t>
        </is>
      </c>
      <c r="G12" s="51" t="inlineStr">
        <is>
          <t>Article</t>
        </is>
      </c>
      <c r="H12" s="51" t="inlineStr">
        <is>
          <t>Aporta a la línea: Araña roja y acaros.</t>
        </is>
      </c>
      <c r="I12" s="51" t="inlineStr">
        <is>
          <t>Relacionado con el Objetivo 1 porque aporta evidencia fitosanitaria, síntomas foliares o metodología de detección automatizada para hojas de aguacate.</t>
        </is>
      </c>
      <c r="J12" s="51" t="inlineStr">
        <is>
          <t>No</t>
        </is>
      </c>
      <c r="K12" s="51" t="inlineStr">
        <is>
          <t>Parcial: útil para diseñar criterios de interacción y validación de app</t>
        </is>
      </c>
      <c r="L12" s="51" t="inlineStr">
        <is>
          <t>No</t>
        </is>
      </c>
      <c r="M12" s="51" t="inlineStr">
        <is>
          <t>Parcial: soporte fitosanitario</t>
        </is>
      </c>
      <c r="N12" s="51" t="inlineStr">
        <is>
          <t>Sí: aguacate, ácaros</t>
        </is>
      </c>
      <c r="O12" s="51" t="inlineStr">
        <is>
          <t>Media</t>
        </is>
      </c>
      <c r="P12" s="51" t="inlineStr">
        <is>
          <t>Alta calidad</t>
        </is>
      </c>
      <c r="Q12" s="51" t="inlineStr">
        <is>
          <t>Reserva</t>
        </is>
      </c>
      <c r="R12" s="51" t="inlineStr">
        <is>
          <t>Mantener como apoyo metodológico o diagnóstico diferencial.</t>
        </is>
      </c>
    </row>
    <row r="13" ht="33.6" customHeight="1" s="34">
      <c r="A13" s="51" t="inlineStr">
        <is>
          <t>H0010</t>
        </is>
      </c>
      <c r="B13" s="51" t="inlineStr">
        <is>
          <t>Plant Health Progress</t>
        </is>
      </c>
      <c r="C13" s="51" t="inlineStr">
        <is>
          <t>Avocado Scab Caused by Elsinoe perseae: A Diagnostic Guide</t>
        </is>
      </c>
      <c r="D13" s="51" t="n">
        <v>2024</v>
      </c>
      <c r="E13" s="51" t="inlineStr">
        <is>
          <t>Belizaire; Gañán-Betancur; Gazis</t>
        </is>
      </c>
      <c r="F13" s="51" t="inlineStr">
        <is>
          <t>10.1094/PHP-10-23-0084-DG</t>
        </is>
      </c>
      <c r="G13" s="51" t="inlineStr">
        <is>
          <t>Diagnostic guide</t>
        </is>
      </c>
      <c r="H13" s="51" t="inlineStr">
        <is>
          <t>Aporta a la línea: Roña.</t>
        </is>
      </c>
      <c r="I13" s="51" t="inlineStr">
        <is>
          <t>Relacionado con el Objetivo 1 porque aporta evidencia fitosanitaria, síntomas foliares o metodología de detección automatizada para hojas de aguacate.</t>
        </is>
      </c>
      <c r="J13" s="51" t="inlineStr">
        <is>
          <t>No</t>
        </is>
      </c>
      <c r="K13" s="51" t="inlineStr">
        <is>
          <t>Parcial: útil para diseñar criterios de interacción y validación de app</t>
        </is>
      </c>
      <c r="L13" s="51" t="inlineStr">
        <is>
          <t>No</t>
        </is>
      </c>
      <c r="M13" s="51" t="inlineStr">
        <is>
          <t>Parcial: soporte fitosanitario</t>
        </is>
      </c>
      <c r="N13" s="51" t="inlineStr">
        <is>
          <t>Sí: aguacate, roña</t>
        </is>
      </c>
      <c r="O13" s="51" t="inlineStr">
        <is>
          <t>Media</t>
        </is>
      </c>
      <c r="P13" s="51" t="inlineStr">
        <is>
          <t>Alta calidad</t>
        </is>
      </c>
      <c r="Q13" s="51" t="inlineStr">
        <is>
          <t>Reserva</t>
        </is>
      </c>
      <c r="R13" s="51" t="inlineStr">
        <is>
          <t>Mantener como apoyo metodológico o diagnóstico diferencial.</t>
        </is>
      </c>
    </row>
    <row r="14" ht="33.6" customHeight="1" s="34">
      <c r="A14" s="51" t="inlineStr">
        <is>
          <t>H0011</t>
        </is>
      </c>
      <c r="B14" s="51" t="inlineStr">
        <is>
          <t>Journal</t>
        </is>
      </c>
      <c r="C14" s="51" t="inlineStr">
        <is>
          <t>Real-time hass avocado ripeness detection using close-range UAV imagery and YOLO-based deep learning</t>
        </is>
      </c>
      <c r="D14" s="51" t="n">
        <v>2026</v>
      </c>
      <c r="E14" s="51" t="inlineStr">
        <is>
          <t>Tudela Taco; Quispe Accostupa; Sulla Espinoza</t>
        </is>
      </c>
      <c r="F14" s="51" t="inlineStr"/>
      <c r="G14" s="51" t="inlineStr">
        <is>
          <t>Article</t>
        </is>
      </c>
      <c r="H14" s="51" t="inlineStr">
        <is>
          <t>Aporta a la línea: YOLO y UAV en aguacate.</t>
        </is>
      </c>
      <c r="I14" s="51" t="inlineStr">
        <is>
          <t>Relacionado con el Objetivo 1 porque aporta evidencia fitosanitaria, síntomas foliares o metodología de detección automatizada para hojas de aguacate.</t>
        </is>
      </c>
      <c r="J14" s="51" t="inlineStr">
        <is>
          <t>Sí: YOLO, deep learning</t>
        </is>
      </c>
      <c r="K14" s="51" t="inlineStr">
        <is>
          <t>Parcial: útil para diseñar criterios de interacción y validación de app</t>
        </is>
      </c>
      <c r="L14" s="51" t="inlineStr">
        <is>
          <t>No</t>
        </is>
      </c>
      <c r="M14" s="51" t="inlineStr">
        <is>
          <t>Sí: método o enfoque documentado</t>
        </is>
      </c>
      <c r="N14" s="51" t="inlineStr">
        <is>
          <t>Sí: aguacate</t>
        </is>
      </c>
      <c r="O14" s="51" t="inlineStr">
        <is>
          <t>Media</t>
        </is>
      </c>
      <c r="P14" s="51" t="inlineStr">
        <is>
          <t>Alta calidad</t>
        </is>
      </c>
      <c r="Q14" s="51" t="inlineStr">
        <is>
          <t>Reserva</t>
        </is>
      </c>
      <c r="R14" s="51" t="inlineStr">
        <is>
          <t>Mantener como apoyo metodológico o diagnóstico diferencial.</t>
        </is>
      </c>
    </row>
    <row r="15" ht="33.6" customHeight="1" s="34">
      <c r="A15" s="51" t="inlineStr">
        <is>
          <t>H0012</t>
        </is>
      </c>
      <c r="B15" s="51" t="inlineStr">
        <is>
          <t>Scientific Reports</t>
        </is>
      </c>
      <c r="C15" s="51" t="inlineStr">
        <is>
          <t>Simultaneously prediction of multiple wheat leaf phenotypes using hyperspectral imaging with multi-task machine and deep learning</t>
        </is>
      </c>
      <c r="D15" s="51" t="n">
        <v>2026</v>
      </c>
      <c r="E15" s="51" t="inlineStr">
        <is>
          <t>Fu et al.</t>
        </is>
      </c>
      <c r="F15" s="51" t="inlineStr"/>
      <c r="G15" s="51" t="inlineStr">
        <is>
          <t>Article</t>
        </is>
      </c>
      <c r="H15" s="51" t="inlineStr">
        <is>
          <t>Aporta a la línea: Cultivos comparativos.</t>
        </is>
      </c>
      <c r="I15" s="51" t="inlineStr">
        <is>
          <t>Relacionado con el Objetivo 1 porque aporta evidencia fitosanitaria, síntomas foliares o metodología de detección automatizada para hojas de aguacate.</t>
        </is>
      </c>
      <c r="J15" s="51" t="inlineStr">
        <is>
          <t>Sí: machine learning, deep learning</t>
        </is>
      </c>
      <c r="K15" s="51" t="inlineStr">
        <is>
          <t>Parcial: útil para diseñar criterios de interacción y validación de app</t>
        </is>
      </c>
      <c r="L15" s="51" t="inlineStr">
        <is>
          <t>No</t>
        </is>
      </c>
      <c r="M15" s="51" t="inlineStr">
        <is>
          <t>Sí: método o enfoque documentado</t>
        </is>
      </c>
      <c r="N15" s="51" t="inlineStr">
        <is>
          <t>Sí: hojas de cultivo</t>
        </is>
      </c>
      <c r="O15" s="51" t="inlineStr">
        <is>
          <t>Baja</t>
        </is>
      </c>
      <c r="P15" s="51" t="inlineStr">
        <is>
          <t>Alta calidad</t>
        </is>
      </c>
      <c r="Q15" s="51" t="inlineStr">
        <is>
          <t>Reserva</t>
        </is>
      </c>
      <c r="R15" s="51" t="inlineStr">
        <is>
          <t>Mantener como apoyo metodológico o diagnóstico diferencial.</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sheetData>
  <autoFilter ref="A3:R15"/>
  <mergeCells count="2">
    <mergeCell ref="A2:R2"/>
    <mergeCell ref="A1:R1"/>
  </mergeCells>
  <dataValidations count="3">
    <dataValidation sqref="O4:O300" showDropDown="0" showInputMessage="0" showErrorMessage="0" allowBlank="1" type="list">
      <formula1>"Alto,Medio,Bajo"</formula1>
    </dataValidation>
    <dataValidation sqref="P4:P300" showDropDown="0" showInputMessage="0" showErrorMessage="0" allowBlank="1" type="list">
      <formula1>"Alta calidad,Media calidad,Baja calidad"</formula1>
    </dataValidation>
    <dataValidation sqref="Q4:Q300" showDropDown="0" showInputMessage="0" showErrorMessage="0" allowBlank="1" type="list">
      <formula1>"Incluir,Reserva"</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6"/>
  <sheetViews>
    <sheetView topLeftCell="A50" workbookViewId="0">
      <selection activeCell="C114" sqref="C114"/>
    </sheetView>
  </sheetViews>
  <sheetFormatPr baseColWidth="10" defaultRowHeight="14.4"/>
  <cols>
    <col width="13" customWidth="1" style="34" min="1" max="1"/>
    <col width="55" customWidth="1" style="34" min="2" max="2"/>
    <col width="13" customWidth="1" style="34" min="3" max="3"/>
    <col width="13" customWidth="1" style="34" min="4" max="4"/>
    <col width="13" customWidth="1" style="34" min="5" max="5"/>
    <col width="13" customWidth="1" style="34" min="6" max="6"/>
  </cols>
  <sheetData>
    <row r="1" ht="21" customHeight="1" s="34" thickBot="1">
      <c r="A1" s="54" t="inlineStr">
        <is>
          <t>Autor</t>
        </is>
      </c>
      <c r="B1" s="54" t="inlineStr">
        <is>
          <t>Estudio</t>
        </is>
      </c>
      <c r="C1" s="54" t="inlineStr">
        <is>
          <t>Técnica IA</t>
        </is>
      </c>
      <c r="D1" s="54" t="inlineStr">
        <is>
          <t>Método HCI</t>
        </is>
      </c>
      <c r="E1" s="54" t="inlineStr">
        <is>
          <t>Plataforma móvil</t>
        </is>
      </c>
      <c r="F1" s="54" t="inlineStr">
        <is>
          <t>Evaluación UX</t>
        </is>
      </c>
    </row>
    <row r="2" ht="30" customHeight="1" s="34">
      <c r="A2" s="55" t="inlineStr">
        <is>
          <t>Mir; Banerjee; Chauhan; Pokhariya; Kumar (2024)</t>
        </is>
      </c>
      <c r="B2" s="55" t="inlineStr">
        <is>
          <t>Unified Approach for Avocado Leaf Disease Classification: CNN-SVM Fusion</t>
        </is>
      </c>
      <c r="C2" s="55" t="inlineStr">
        <is>
          <t>Sí: CNN-SVM</t>
        </is>
      </c>
      <c r="D2" s="55" t="inlineStr">
        <is>
          <t>Por definir en la propuesta de app móvil</t>
        </is>
      </c>
      <c r="E2" s="55" t="inlineStr">
        <is>
          <t>Android / móvil por definir</t>
        </is>
      </c>
      <c r="F2" s="55" t="inlineStr">
        <is>
          <t>Pendiente: SUS, heurísticas o pruebas con usuarios</t>
        </is>
      </c>
    </row>
    <row r="3" ht="20.4" customHeight="1" s="34">
      <c r="A3" s="55" t="inlineStr">
        <is>
          <t>Karthik; Govindasamy; Muthusamy; Routray (2026)</t>
        </is>
      </c>
      <c r="B3" s="55" t="inlineStr">
        <is>
          <t>Spectrally optimised YOLOv10s-SeqOpt framework for real-time UAV-based early detection of avocado foliar diseases in Indian orchards</t>
        </is>
      </c>
      <c r="C3" s="55" t="inlineStr">
        <is>
          <t>Sí: YOLOv10s, deep learning</t>
        </is>
      </c>
      <c r="D3" s="55" t="inlineStr">
        <is>
          <t>Por definir en la propuesta de app móvil</t>
        </is>
      </c>
      <c r="E3" s="55" t="inlineStr">
        <is>
          <t>Android / móvil por definir</t>
        </is>
      </c>
      <c r="F3" s="55" t="inlineStr">
        <is>
          <t>Pendiente: SUS, heurísticas o pruebas con usuarios</t>
        </is>
      </c>
    </row>
    <row r="4" ht="20.4" customHeight="1" s="34">
      <c r="A4" s="55" t="inlineStr">
        <is>
          <t>Guelac-Santillan et al. (2026)</t>
        </is>
      </c>
      <c r="B4" s="55" t="inlineStr">
        <is>
          <t>Spatial Mapping of Avocado Anthracnose Severity Using UAV-Derived Vegetation Indices in Amazonas, Peru</t>
        </is>
      </c>
      <c r="C4" s="55" t="inlineStr">
        <is>
          <t>Parcial: índices de vegetación y análisis espacial</t>
        </is>
      </c>
      <c r="D4" s="55" t="inlineStr">
        <is>
          <t>Por definir en la propuesta de app móvil</t>
        </is>
      </c>
      <c r="E4" s="55" t="inlineStr">
        <is>
          <t>No aplica directamente</t>
        </is>
      </c>
      <c r="F4" s="55" t="inlineStr">
        <is>
          <t>Pendiente: SUS, heurísticas o pruebas con usuarios</t>
        </is>
      </c>
    </row>
    <row r="5" ht="21" customHeight="1" s="34" thickBot="1">
      <c r="A5" s="55" t="inlineStr">
        <is>
          <t>Authors not extracted (2026)</t>
        </is>
      </c>
      <c r="B5" s="55" t="inlineStr">
        <is>
          <t>Colletotrichum fructicola Causes Necrotic Leaf Lesions in Avocado (Persea americana) in Amazonas, Peru: First Record and In Vitro Control Using Piper Essential Oils</t>
        </is>
      </c>
      <c r="C5" s="55" t="inlineStr">
        <is>
          <t>No</t>
        </is>
      </c>
      <c r="D5" s="55" t="inlineStr">
        <is>
          <t>Por definir en la propuesta de app móvil</t>
        </is>
      </c>
      <c r="E5" s="55" t="inlineStr">
        <is>
          <t>No aplica directamente</t>
        </is>
      </c>
      <c r="F5" s="55" t="inlineStr">
        <is>
          <t>Pendiente: SUS, heurísticas o pruebas con usuarios</t>
        </is>
      </c>
    </row>
    <row r="6" ht="51" customHeight="1" s="34">
      <c r="A6" s="55" t="inlineStr">
        <is>
          <t>Rodríguez-Polanco et al. (2020)</t>
        </is>
      </c>
      <c r="B6" s="55" t="inlineStr">
        <is>
          <t>Validation of black spot management strategies in avocado crops in northern Tolima (Colombia)</t>
        </is>
      </c>
      <c r="C6" s="55" t="inlineStr">
        <is>
          <t>No</t>
        </is>
      </c>
      <c r="D6" s="55" t="inlineStr">
        <is>
          <t>Por definir en la propuesta de app móvil</t>
        </is>
      </c>
      <c r="E6" s="55" t="inlineStr">
        <is>
          <t>No aplica directamente</t>
        </is>
      </c>
      <c r="F6" s="55" t="inlineStr">
        <is>
          <t>Pendiente: SUS, heurísticas o pruebas con usuarios</t>
        </is>
      </c>
    </row>
    <row r="7" ht="30.6" customHeight="1" s="34"/>
    <row r="8" ht="30.6" customHeight="1" s="34"/>
    <row r="9" ht="20.4" customHeight="1" s="34"/>
    <row r="10" ht="15" customHeight="1" s="34" thickBot="1"/>
    <row r="11" ht="30.6" customHeight="1" s="34"/>
    <row r="12" ht="30.6" customHeight="1" s="34"/>
    <row r="13" ht="20.4" customHeight="1" s="34"/>
    <row r="14" ht="20.4" customHeight="1" s="34"/>
    <row r="15" ht="40.8" customHeight="1" s="34"/>
    <row r="16" ht="40.8" customHeight="1" s="34"/>
    <row r="17" ht="21" customHeight="1" s="34" thickBot="1"/>
    <row r="18" ht="30.6" customHeight="1" s="34"/>
    <row r="19" ht="20.4" customHeight="1" s="34"/>
    <row r="20" ht="40.8" customHeight="1" s="34"/>
    <row r="21" ht="30.6" customHeight="1" s="34"/>
    <row r="22" ht="20.4" customHeight="1" s="34"/>
    <row r="23" ht="21" customHeight="1" s="34" thickBot="1"/>
    <row r="24" ht="30.6" customHeight="1" s="34"/>
    <row r="25" ht="71.40000000000001" customHeight="1" s="34"/>
    <row r="26" ht="30.6" customHeight="1" s="34"/>
    <row r="27" ht="30.6" customHeight="1" s="34"/>
    <row r="28" ht="31.2" customHeight="1" s="34" thickBot="1"/>
    <row r="29" ht="20.4" customHeight="1" s="34"/>
    <row r="30" ht="30.6" customHeight="1" s="34"/>
    <row r="31" ht="20.4" customHeight="1" s="34"/>
    <row r="32" ht="40.8" customHeight="1" s="34"/>
    <row r="33" ht="20.4" customHeight="1" s="34"/>
    <row r="34" ht="31.2" customHeight="1" s="34" thickBot="1"/>
    <row r="35" ht="40.8" customHeight="1" s="34"/>
    <row r="36" ht="40.8" customHeight="1" s="34"/>
    <row r="37" ht="40.8" customHeight="1" s="34"/>
    <row r="38" ht="30.6" customHeight="1" s="34"/>
    <row r="39" ht="30.6" customHeight="1" s="34"/>
    <row r="40" ht="30.6" customHeight="1" s="34"/>
    <row r="41" ht="31.2" customHeight="1" s="34" thickBot="1"/>
    <row r="42" ht="30.6" customHeight="1" s="34"/>
    <row r="43" ht="40.8" customHeight="1" s="34"/>
    <row r="44" ht="20.4" customHeight="1" s="34"/>
    <row r="45" ht="31.2" customHeight="1" s="34" thickBot="1"/>
    <row r="49" ht="28.8" customHeight="1" s="34"/>
    <row r="50" ht="225.6" customHeight="1" s="34"/>
    <row r="51" ht="409.6" customHeight="1" s="34"/>
    <row r="52" ht="28.8" customHeight="1" s="34"/>
    <row r="53" ht="409.6" customHeight="1" s="34"/>
  </sheetData>
  <autoFilter ref="A1:F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26"/>
  <sheetViews>
    <sheetView tabSelected="1" workbookViewId="0">
      <selection activeCell="F10" sqref="F10"/>
    </sheetView>
  </sheetViews>
  <sheetFormatPr baseColWidth="10" defaultColWidth="8.88671875" defaultRowHeight="14.4"/>
  <cols>
    <col width="42" customWidth="1" style="34" min="1" max="1"/>
    <col width="14" customWidth="1" style="34" min="2" max="2"/>
    <col width="42" customWidth="1" style="34" min="3" max="3"/>
    <col width="12" customWidth="1" style="34" min="4" max="4"/>
    <col width="18" customWidth="1" style="34" min="5" max="5"/>
    <col width="14" customWidth="1" style="34" min="6" max="6"/>
    <col width="12" customWidth="1" style="34" min="7" max="8"/>
    <col width="13" customWidth="1" style="34" min="8" max="8"/>
    <col width="13" customWidth="1" style="34" min="9" max="9"/>
    <col width="23.33203125" customWidth="1" style="34" min="10" max="10"/>
  </cols>
  <sheetData>
    <row r="1" ht="17.55" customHeight="1" s="34">
      <c r="A1" s="49" t="inlineStr">
        <is>
          <t>Resumen_ejecutivo</t>
        </is>
      </c>
    </row>
    <row r="2">
      <c r="A2" s="55" t="inlineStr">
        <is>
          <t>Resumen actualizado tras cargar la base consolidada completa V1.2.</t>
        </is>
      </c>
    </row>
    <row r="3">
      <c r="A3" s="50" t="inlineStr">
        <is>
          <t>Métrica</t>
        </is>
      </c>
      <c r="B3" s="50" t="inlineStr">
        <is>
          <t>Valor</t>
        </is>
      </c>
      <c r="C3" s="50" t="inlineStr">
        <is>
          <t>Definición</t>
        </is>
      </c>
      <c r="D3" s="1" t="n"/>
      <c r="E3" s="50" t="inlineStr">
        <is>
          <t>Base de datos</t>
        </is>
      </c>
      <c r="F3" s="50" t="inlineStr">
        <is>
          <t>Seleccionados</t>
        </is>
      </c>
      <c r="G3" s="50" t="inlineStr">
        <is>
          <t>Incluir</t>
        </is>
      </c>
      <c r="H3" s="50" t="inlineStr">
        <is>
          <t>Reserva</t>
        </is>
      </c>
      <c r="J3" s="56" t="inlineStr">
        <is>
          <t>Duplicados y revisiones</t>
        </is>
      </c>
    </row>
    <row r="4">
      <c r="A4" s="2" t="inlineStr">
        <is>
          <t>Número total de artículos analizados</t>
        </is>
      </c>
      <c r="B4" s="3">
        <f>COUNTA(Base_consolidada!A:A)-3</f>
        <v/>
      </c>
      <c r="C4" s="2" t="inlineStr">
        <is>
          <t>Total consolidado de registros importados.</t>
        </is>
      </c>
      <c r="D4" s="4" t="n"/>
      <c r="E4" s="57" t="inlineStr">
        <is>
          <t>Scopus</t>
        </is>
      </c>
      <c r="F4" s="57">
        <f>COUNTIF(Articulos_finales!B:B,"Scopus")</f>
        <v/>
      </c>
      <c r="G4" s="57">
        <f>COUNTIFS(Articulos_finales!B:B,"Scopus",Articulos_finales!Q:Q,"Incluir")</f>
        <v/>
      </c>
      <c r="H4" s="57">
        <f>COUNTIFS(Articulos_finales!B:B,"Scopus",Articulos_finales!Q:Q,"Reserva")</f>
        <v/>
      </c>
      <c r="J4" s="58">
        <f>B5+B6</f>
        <v/>
      </c>
    </row>
    <row r="5">
      <c r="A5" s="6" t="inlineStr">
        <is>
          <t>Número de duplicados encontrados</t>
        </is>
      </c>
      <c r="B5" s="7">
        <f>COUNTIF(Duplicados_y_exclusion!G:G,"Sí")</f>
        <v/>
      </c>
      <c r="C5" s="6" t="inlineStr">
        <is>
          <t>Registros repetidos respecto al estudio preferente.</t>
        </is>
      </c>
      <c r="D5" s="4" t="n"/>
      <c r="E5" s="59" t="inlineStr">
        <is>
          <t>IEEE Xplore</t>
        </is>
      </c>
      <c r="F5" s="59">
        <f>COUNTIF(Articulos_finales!B:B,"IEEE Xplore")</f>
        <v/>
      </c>
      <c r="G5" s="59">
        <f>COUNTIFS(Articulos_finales!B:B,"IEEE Xplore",Articulos_finales!Q:Q,"Incluir")</f>
        <v/>
      </c>
      <c r="H5" s="59">
        <f>COUNTIFS(Articulos_finales!B:B,"IEEE Xplore",Articulos_finales!Q:Q,"Reserva")</f>
        <v/>
      </c>
    </row>
    <row r="6" ht="27.6" customHeight="1" s="34">
      <c r="A6" s="2" t="inlineStr">
        <is>
          <t>Número de revisiones/surveys/mapping/meta-análisis excluidos</t>
        </is>
      </c>
      <c r="B6" s="3">
        <f>COUNTIF(Duplicados_y_exclusion!E:E,"Revisión")</f>
        <v/>
      </c>
      <c r="C6" s="2" t="inlineStr">
        <is>
          <t>Exclusiones por ser estudios de revisión.</t>
        </is>
      </c>
      <c r="D6" s="4" t="n"/>
      <c r="E6" s="57" t="inlineStr">
        <is>
          <t>Web of Science</t>
        </is>
      </c>
      <c r="F6" s="57">
        <f>COUNTIF(Articulos_finales!B:B,"Web of Science")</f>
        <v/>
      </c>
      <c r="G6" s="57">
        <f>COUNTIFS(Articulos_finales!B:B,"Web of Science",Articulos_finales!Q:Q,"Incluir")</f>
        <v/>
      </c>
      <c r="H6" s="57">
        <f>COUNTIFS(Articulos_finales!B:B,"Web of Science",Articulos_finales!Q:Q,"Reserva")</f>
        <v/>
      </c>
    </row>
    <row r="7" ht="27.6" customHeight="1" s="34">
      <c r="A7" s="6" t="inlineStr">
        <is>
          <t>Número de estudios primarios detectados</t>
        </is>
      </c>
      <c r="B7" s="7">
        <f>COUNTIF(Articulos_finales!Q:Q,"Incluir")</f>
        <v/>
      </c>
      <c r="C7" s="6" t="inlineStr">
        <is>
          <t>Detección automática por título/abstract/keywords disponibles.</t>
        </is>
      </c>
      <c r="D7" s="4" t="n"/>
      <c r="E7" s="59" t="inlineStr">
        <is>
          <t>Springer</t>
        </is>
      </c>
      <c r="F7" s="59">
        <f>COUNTIF(Articulos_finales!B:B,"Springer")</f>
        <v/>
      </c>
      <c r="G7" s="59">
        <f>COUNTIFS(Articulos_finales!B:B,"Springer",Articulos_finales!Q:Q,"Incluir")</f>
        <v/>
      </c>
      <c r="H7" s="59">
        <f>COUNTIFS(Articulos_finales!B:B,"Springer",Articulos_finales!Q:Q,"Reserva")</f>
        <v/>
      </c>
    </row>
    <row r="8">
      <c r="A8" s="2" t="inlineStr">
        <is>
          <t>Número de artículos que pasaron el tamizaje</t>
        </is>
      </c>
      <c r="B8" s="3">
        <f>COUNTIF(Articulos_finales!Q:Q,"Reserva")</f>
        <v/>
      </c>
      <c r="C8" s="2" t="inlineStr">
        <is>
          <t>Registros mantenidos con alineación media o alta.</t>
        </is>
      </c>
      <c r="D8" s="4" t="n"/>
      <c r="E8" s="60" t="inlineStr">
        <is>
          <t>Science Direct</t>
        </is>
      </c>
      <c r="F8" s="60">
        <f>COUNTIF(Articulos_finales!B:B,"Science Direct")</f>
        <v/>
      </c>
      <c r="G8" s="60">
        <f>COUNTIFS(Articulos_finales!B:B,"Science Direct",Articulos_finales!Q:Q,"Incluir")</f>
        <v/>
      </c>
      <c r="H8" s="60">
        <f>COUNTIFS(Articulos_finales!B:B,"Science Direct",Articulos_finales!Q:Q,"Reserva")</f>
        <v/>
      </c>
    </row>
    <row r="9">
      <c r="A9" s="6" t="inlineStr">
        <is>
          <t>Número de artículos de alta calidad</t>
        </is>
      </c>
      <c r="B9" s="7">
        <f>COUNTIF(Calidad_articulos!O:O,"Alta calidad")</f>
        <v/>
      </c>
      <c r="C9" s="6" t="inlineStr">
        <is>
          <t>Artículos con 16 a 20 puntos.</t>
        </is>
      </c>
      <c r="D9" s="4" t="n"/>
      <c r="E9" s="4" t="n"/>
      <c r="F9" s="4" t="n"/>
      <c r="G9" s="4" t="n"/>
      <c r="H9" s="4" t="n"/>
    </row>
    <row r="10">
      <c r="A10" s="2" t="inlineStr">
        <is>
          <t>Tema adaptado</t>
        </is>
      </c>
      <c r="B10" s="3" t="inlineStr">
        <is>
          <t>Hojas de aguacate, enfermedades/plagas foliares, IA, visión por computador, UAV y app móvil.</t>
        </is>
      </c>
      <c r="C10" s="2" t="inlineStr">
        <is>
          <t>Artículos incluidos o en reserva en la selección final.</t>
        </is>
      </c>
      <c r="D10" s="4" t="n"/>
      <c r="E10" s="4" t="n"/>
      <c r="F10" s="4" t="n"/>
      <c r="G10" s="4" t="n"/>
      <c r="H10" s="4" t="n"/>
    </row>
    <row r="11">
      <c r="A11" s="4" t="n"/>
      <c r="B11" s="4" t="n"/>
      <c r="C11" s="4" t="n"/>
      <c r="D11" s="4" t="n"/>
      <c r="E11" s="4" t="n"/>
      <c r="F11" s="4" t="n"/>
      <c r="G11" s="4" t="n"/>
      <c r="H11" s="4" t="n"/>
    </row>
    <row r="12">
      <c r="A12" s="61" t="inlineStr">
        <is>
          <t>Principales patrones encontrados</t>
        </is>
      </c>
      <c r="B12" s="40" t="n"/>
      <c r="C12" s="4" t="n"/>
      <c r="D12" s="4" t="n"/>
      <c r="E12" s="4" t="n"/>
      <c r="F12" s="4" t="n"/>
      <c r="G12" s="4" t="n"/>
      <c r="H12" s="4" t="n"/>
    </row>
    <row r="13" ht="48" customHeight="1" s="34">
      <c r="A13" s="42" t="inlineStr">
        <is>
          <t>(Completa al final: principales patrones que encontraste en los artículos.)</t>
        </is>
      </c>
    </row>
    <row r="14" ht="7.95" customHeight="1" s="34">
      <c r="A14" s="40" t="n"/>
      <c r="B14" s="40" t="n"/>
      <c r="C14" s="40" t="n"/>
      <c r="D14" s="40" t="n"/>
      <c r="E14" s="40" t="n"/>
      <c r="F14" s="40" t="n"/>
      <c r="G14" s="40" t="n"/>
      <c r="H14" s="40" t="n"/>
    </row>
    <row r="15">
      <c r="A15" s="61" t="inlineStr">
        <is>
          <t>Principales técnicas de IA identificadas</t>
        </is>
      </c>
      <c r="B15" s="40" t="n"/>
      <c r="C15" s="4" t="n"/>
      <c r="D15" s="4" t="n"/>
      <c r="E15" s="4" t="n"/>
      <c r="F15" s="4" t="n"/>
      <c r="G15" s="4" t="n"/>
      <c r="H15" s="4" t="n"/>
    </row>
    <row r="16" ht="48" customHeight="1" s="34">
      <c r="A16" s="42" t="inlineStr">
        <is>
          <t>(Completa: principales grupos/patógenos y métodos de detección identificados.)</t>
        </is>
      </c>
    </row>
    <row r="17" ht="7.95" customHeight="1" s="34">
      <c r="A17" s="40" t="n"/>
      <c r="B17" s="40" t="n"/>
      <c r="C17" s="40" t="n"/>
      <c r="D17" s="40" t="n"/>
      <c r="E17" s="40" t="n"/>
      <c r="F17" s="40" t="n"/>
      <c r="G17" s="40" t="n"/>
      <c r="H17" s="40" t="n"/>
    </row>
    <row r="18">
      <c r="A18" s="61" t="inlineStr">
        <is>
          <t>Principales enfoques de HCI/UX identificados</t>
        </is>
      </c>
      <c r="B18" s="40" t="n"/>
      <c r="C18" s="4" t="n"/>
      <c r="D18" s="4" t="n"/>
      <c r="E18" s="4" t="n"/>
      <c r="F18" s="4" t="n"/>
      <c r="G18" s="4" t="n"/>
      <c r="H18" s="4" t="n"/>
    </row>
    <row r="19" ht="48" customHeight="1" s="34">
      <c r="A19" s="42" t="inlineStr">
        <is>
          <t>(Completa: principales síntomas/enfermedades del tallo identificados.)</t>
        </is>
      </c>
    </row>
    <row r="20" ht="7.95" customHeight="1" s="34">
      <c r="A20" s="40" t="n"/>
      <c r="B20" s="40" t="n"/>
      <c r="C20" s="40" t="n"/>
      <c r="D20" s="40" t="n"/>
      <c r="E20" s="40" t="n"/>
      <c r="F20" s="40" t="n"/>
      <c r="G20" s="40" t="n"/>
      <c r="H20" s="40" t="n"/>
    </row>
    <row r="21">
      <c r="A21" s="61" t="inlineStr">
        <is>
          <t>Vacíos detectados en la literatura</t>
        </is>
      </c>
      <c r="B21" s="40" t="n"/>
      <c r="C21" s="4" t="n"/>
      <c r="D21" s="4" t="n"/>
      <c r="E21" s="4" t="n"/>
      <c r="F21" s="4" t="n"/>
      <c r="G21" s="4" t="n"/>
      <c r="H21" s="4" t="n"/>
    </row>
    <row r="22" ht="48" customHeight="1" s="34">
      <c r="A22" s="39" t="inlineStr">
        <is>
          <t>(Completa: vacíos que detectaste en la literatura.)</t>
        </is>
      </c>
    </row>
    <row r="23" ht="7.95" customHeight="1" s="34">
      <c r="A23" s="40" t="n"/>
      <c r="B23" s="40" t="n"/>
      <c r="C23" s="40" t="n"/>
      <c r="D23" s="40" t="n"/>
      <c r="E23" s="40" t="n"/>
      <c r="F23" s="40" t="n"/>
      <c r="G23" s="40" t="n"/>
      <c r="H23" s="40" t="n"/>
    </row>
    <row r="24">
      <c r="A24" s="61" t="inlineStr">
        <is>
          <t>Recomendación final</t>
        </is>
      </c>
      <c r="B24" s="40" t="n"/>
      <c r="C24" s="4" t="n"/>
      <c r="D24" s="4" t="n"/>
      <c r="E24" s="4" t="n"/>
      <c r="F24" s="4" t="n"/>
      <c r="G24" s="4" t="n"/>
      <c r="H24" s="4" t="n"/>
    </row>
    <row r="25" ht="48" customHeight="1" s="34">
      <c r="A25" s="42" t="inlineStr">
        <is>
          <t>(Completa: tu recomendación final.)</t>
        </is>
      </c>
    </row>
    <row r="26" ht="7.95" customHeight="1" s="34">
      <c r="A26" s="40" t="n"/>
      <c r="B26" s="40" t="n"/>
      <c r="C26" s="40" t="n"/>
      <c r="D26" s="40" t="n"/>
      <c r="E26" s="40" t="n"/>
      <c r="F26" s="40" t="n"/>
      <c r="G26" s="40" t="n"/>
      <c r="H26" s="40" t="n"/>
    </row>
  </sheetData>
  <mergeCells count="11">
    <mergeCell ref="A22:H23"/>
    <mergeCell ref="A24:B24"/>
    <mergeCell ref="A25:H26"/>
    <mergeCell ref="A13:H14"/>
    <mergeCell ref="A15:B15"/>
    <mergeCell ref="A21:B21"/>
    <mergeCell ref="A16:H17"/>
    <mergeCell ref="A19:H20"/>
    <mergeCell ref="A1:H1"/>
    <mergeCell ref="A18:B18"/>
    <mergeCell ref="A12:B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2026-09-16T15:40:04Z</dcterms:created>
  <dcterms:modified xmlns:dcterms="http://purl.org/dc/terms/" xmlns:xsi="http://www.w3.org/2001/XMLSchema-instance" xsi:type="dcterms:W3CDTF">2026-09-21T16:37:06Z</dcterms:modified>
  <cp:lastModifiedBy>ARIEL JOSE LLUMIQUINGA �ACATO</cp:lastModifiedBy>
</cp:coreProperties>
</file>